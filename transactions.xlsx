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tkudemircan/Desktop/Python Dersi/streamlit_project/"/>
    </mc:Choice>
  </mc:AlternateContent>
  <xr:revisionPtr revIDLastSave="0" documentId="13_ncr:1_{1C64B362-BE98-EA40-9DF2-8D24CCCB3129}" xr6:coauthVersionLast="47" xr6:coauthVersionMax="47" xr10:uidLastSave="{00000000-0000-0000-0000-000000000000}"/>
  <bookViews>
    <workbookView xWindow="0" yWindow="600" windowWidth="33600" windowHeight="18800" xr2:uid="{D95E999B-4693-DD44-8331-A5F84CA41671}"/>
  </bookViews>
  <sheets>
    <sheet name="transactions_DB" sheetId="1" r:id="rId1"/>
    <sheet name="deposits" sheetId="2" r:id="rId2"/>
    <sheet name="dividends" sheetId="3" r:id="rId3"/>
  </sheets>
  <definedNames>
    <definedName name="_xlnm._FilterDatabase" localSheetId="1" hidden="1">deposits!$A$1:$D$83</definedName>
    <definedName name="_xlnm._FilterDatabase" localSheetId="0" hidden="1">transactions_DB!$B$1:$I$120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0" i="1" l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68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<sst xmlns="http://schemas.openxmlformats.org/spreadsheetml/2006/main" count="1586" uniqueCount="66">
  <si>
    <t>ticker</t>
  </si>
  <si>
    <t>date</t>
  </si>
  <si>
    <t>price</t>
  </si>
  <si>
    <t>shares</t>
  </si>
  <si>
    <t>commission</t>
  </si>
  <si>
    <t>net_flow</t>
  </si>
  <si>
    <t>TSLA</t>
  </si>
  <si>
    <t>Buy</t>
  </si>
  <si>
    <t>ABNB</t>
  </si>
  <si>
    <t>NVDA</t>
  </si>
  <si>
    <t>XOM</t>
  </si>
  <si>
    <t>SBUX</t>
  </si>
  <si>
    <t>BRK-B</t>
  </si>
  <si>
    <t>AMZN</t>
  </si>
  <si>
    <t>AAPL</t>
  </si>
  <si>
    <t>GOOGL</t>
  </si>
  <si>
    <t>MCD</t>
  </si>
  <si>
    <t>MSFT</t>
  </si>
  <si>
    <t>TSM</t>
  </si>
  <si>
    <t>NFLX</t>
  </si>
  <si>
    <t>SPOT</t>
  </si>
  <si>
    <t>SNOW</t>
  </si>
  <si>
    <t>Sell</t>
  </si>
  <si>
    <t>HSY</t>
  </si>
  <si>
    <t>COIN</t>
  </si>
  <si>
    <t>ADBE</t>
  </si>
  <si>
    <t>CAMT</t>
  </si>
  <si>
    <t>HEI</t>
  </si>
  <si>
    <t>ULTA</t>
  </si>
  <si>
    <t>APO</t>
  </si>
  <si>
    <t>META</t>
  </si>
  <si>
    <t>AMD</t>
  </si>
  <si>
    <t>MRVL</t>
  </si>
  <si>
    <t>IOT</t>
  </si>
  <si>
    <t>DUOL</t>
  </si>
  <si>
    <t>ARTY</t>
  </si>
  <si>
    <t>GXC</t>
  </si>
  <si>
    <t>MTA</t>
  </si>
  <si>
    <t>GROY</t>
  </si>
  <si>
    <t>ABX</t>
  </si>
  <si>
    <t>LXRX</t>
  </si>
  <si>
    <t>GCT</t>
  </si>
  <si>
    <t>SLV</t>
  </si>
  <si>
    <t>GDXU</t>
  </si>
  <si>
    <t>TW</t>
  </si>
  <si>
    <t>DVVY</t>
  </si>
  <si>
    <t>transaction_type</t>
  </si>
  <si>
    <t>amount</t>
  </si>
  <si>
    <t>currency</t>
  </si>
  <si>
    <t>DEPOSIT</t>
  </si>
  <si>
    <t>USD</t>
  </si>
  <si>
    <t>WITHDRAWAL</t>
  </si>
  <si>
    <t>is_drip</t>
  </si>
  <si>
    <t>NO</t>
  </si>
  <si>
    <t>YES</t>
  </si>
  <si>
    <t>INTEREST</t>
  </si>
  <si>
    <t>BSX</t>
  </si>
  <si>
    <t>DRAM</t>
  </si>
  <si>
    <t>FLOW</t>
  </si>
  <si>
    <t>ST</t>
  </si>
  <si>
    <t>UUUU</t>
  </si>
  <si>
    <t>JEF</t>
  </si>
  <si>
    <t>cash_transaction</t>
  </si>
  <si>
    <t>stock_transaction</t>
  </si>
  <si>
    <t>portfolio_type</t>
  </si>
  <si>
    <t>dividend_transactions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</si>
</sst>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0000_);_(* \(#,##0.00000000\);_(* &quot;-&quot;??_);_(@_)"/>
    <numFmt numFmtId="165" formatCode="0.0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2FE4"/>
        <bgColor indexed="64"/>
      </patternFill>
    </fill>
    <fill>
      <patternFill patternType="solid">
        <fgColor rgb="FF2FBAE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43" fontId="2" fillId="3" borderId="0" xfId="1" applyFont="1" applyFill="1" applyAlignment="1">
      <alignment horizontal="right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43" fontId="3" fillId="0" borderId="0" xfId="1" applyFont="1"/>
    <xf numFmtId="14" fontId="0" fillId="0" borderId="0" xfId="0" applyNumberFormat="1"/>
    <xf numFmtId="43" fontId="3" fillId="0" borderId="0" xfId="1" applyFont="1" applyAlignment="1">
      <alignment horizontal="center"/>
    </xf>
    <xf numFmtId="43" fontId="0" fillId="0" borderId="0" xfId="0" applyNumberForma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164" fontId="0" fillId="0" borderId="0" xfId="0" applyNumberFormat="1"/>
    <xf numFmtId="0" fontId="6" fillId="0" borderId="0" xfId="0" applyFont="1"/>
    <xf numFmtId="43" fontId="0" fillId="0" borderId="0" xfId="1" applyFont="1"/>
    <xf numFmtId="165" fontId="5" fillId="0" borderId="0" xfId="0" applyNumberFormat="1" applyFont="1"/>
    <xf numFmtId="43" fontId="3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550D-3758-9C48-BA26-845476CF4C11}">
  <dimension ref="A1:M340"/>
  <sheetViews>
    <sheetView tabSelected="1" zoomScale="125" workbookViewId="0">
      <selection activeCell="G13" sqref="G13"/>
    </sheetView>
  </sheetViews>
  <sheetFormatPr baseColWidth="10" defaultRowHeight="16" x14ac:dyDescent="0.2"/>
  <cols>
    <col min="1" max="1" width="19.1640625" bestFit="1" customWidth="1"/>
    <col min="2" max="2" width="7.33203125" bestFit="1" customWidth="1"/>
    <col min="3" max="3" width="10.5" bestFit="1" customWidth="1"/>
    <col min="4" max="4" width="19.1640625" bestFit="1" customWidth="1"/>
    <col min="5" max="5" width="7.6640625" bestFit="1" customWidth="1"/>
    <col min="6" max="6" width="11.1640625" style="18" bestFit="1" customWidth="1"/>
    <col min="7" max="7" width="10.33203125" bestFit="1" customWidth="1"/>
    <col min="8" max="8" width="9" bestFit="1" customWidth="1"/>
    <col min="9" max="9" width="6.33203125" bestFit="1" customWidth="1"/>
    <col min="10" max="10" width="14.5" bestFit="1" customWidth="1"/>
    <col min="11" max="11" width="7.1640625" bestFit="1" customWidth="1"/>
    <col min="12" max="12" width="8" bestFit="1" customWidth="1"/>
    <col min="13" max="13" width="12" bestFit="1" customWidth="1"/>
  </cols>
  <sheetData>
    <row r="1" spans="1:12" x14ac:dyDescent="0.2">
      <c r="A1" s="1" t="s">
        <v>64</v>
      </c>
      <c r="B1" s="1" t="s">
        <v>0</v>
      </c>
      <c r="C1" s="1" t="s">
        <v>1</v>
      </c>
      <c r="D1" s="2" t="s">
        <v>46</v>
      </c>
      <c r="E1" s="1" t="s">
        <v>2</v>
      </c>
      <c r="F1" s="1" t="s">
        <v>3</v>
      </c>
      <c r="G1" s="1" t="s">
        <v>4</v>
      </c>
      <c r="H1" s="3" t="s">
        <v>5</v>
      </c>
      <c r="I1" s="1" t="s">
        <v>52</v>
      </c>
      <c r="J1" s="1" t="s">
        <v>46</v>
      </c>
      <c r="K1" s="1" t="s">
        <v>47</v>
      </c>
      <c r="L1" s="1" t="s">
        <v>48</v>
      </c>
    </row>
    <row r="2" spans="1:12" x14ac:dyDescent="0.2">
      <c r="A2" t="s">
        <v>63</v>
      </c>
      <c r="B2" t="s">
        <v>6</v>
      </c>
      <c r="C2" s="4">
        <v>44599</v>
      </c>
      <c r="D2" s="5" t="s">
        <v>7</v>
      </c>
      <c r="E2" s="6">
        <v>307.77</v>
      </c>
      <c r="F2" s="6">
        <v>2.3881209E-2</v>
      </c>
      <c r="G2" s="6">
        <v>0</v>
      </c>
      <c r="H2" s="6">
        <f t="shared" ref="H2:H33" si="0">IF(D2="BUY",-(E2*F2+G2),E2*F2-G2)</f>
        <v>-7.3499196939299996</v>
      </c>
      <c r="I2" t="s">
        <v>53</v>
      </c>
      <c r="K2" s="9"/>
    </row>
    <row r="3" spans="1:12" x14ac:dyDescent="0.2">
      <c r="A3" t="s">
        <v>63</v>
      </c>
      <c r="B3" t="s">
        <v>8</v>
      </c>
      <c r="C3" s="4">
        <v>44691</v>
      </c>
      <c r="D3" s="5" t="s">
        <v>7</v>
      </c>
      <c r="E3" s="6">
        <v>116.74</v>
      </c>
      <c r="F3" s="6">
        <v>4.2831688E-2</v>
      </c>
      <c r="G3" s="6">
        <v>0</v>
      </c>
      <c r="H3" s="6">
        <f t="shared" si="0"/>
        <v>-5.0001712571199999</v>
      </c>
      <c r="I3" t="s">
        <v>53</v>
      </c>
      <c r="K3" s="9"/>
    </row>
    <row r="4" spans="1:12" x14ac:dyDescent="0.2">
      <c r="A4" t="s">
        <v>63</v>
      </c>
      <c r="B4" t="s">
        <v>9</v>
      </c>
      <c r="C4" s="4">
        <v>44693</v>
      </c>
      <c r="D4" s="5" t="s">
        <v>7</v>
      </c>
      <c r="E4" s="6">
        <v>16.228999999999999</v>
      </c>
      <c r="F4" s="6">
        <v>0.92427135999999999</v>
      </c>
      <c r="G4" s="6">
        <v>0</v>
      </c>
      <c r="H4" s="6">
        <f t="shared" si="0"/>
        <v>-14.999999901439999</v>
      </c>
      <c r="I4" t="s">
        <v>53</v>
      </c>
      <c r="K4" s="9"/>
    </row>
    <row r="5" spans="1:12" x14ac:dyDescent="0.2">
      <c r="A5" t="s">
        <v>63</v>
      </c>
      <c r="B5" t="s">
        <v>10</v>
      </c>
      <c r="C5" s="4">
        <v>44693</v>
      </c>
      <c r="D5" s="5" t="s">
        <v>7</v>
      </c>
      <c r="E5" s="6">
        <v>85.67</v>
      </c>
      <c r="F5" s="6">
        <v>8.1708881999999997E-2</v>
      </c>
      <c r="G5" s="6">
        <v>0</v>
      </c>
      <c r="H5" s="6">
        <f t="shared" si="0"/>
        <v>-6.9999999209399997</v>
      </c>
      <c r="I5" t="s">
        <v>53</v>
      </c>
      <c r="K5" s="9"/>
    </row>
    <row r="6" spans="1:12" x14ac:dyDescent="0.2">
      <c r="A6" t="s">
        <v>63</v>
      </c>
      <c r="B6" t="s">
        <v>11</v>
      </c>
      <c r="C6" s="4">
        <v>44697</v>
      </c>
      <c r="D6" s="5" t="s">
        <v>7</v>
      </c>
      <c r="E6" s="6">
        <v>74.94</v>
      </c>
      <c r="F6" s="6">
        <v>0.13344008500000001</v>
      </c>
      <c r="G6" s="6">
        <v>0</v>
      </c>
      <c r="H6" s="6">
        <f t="shared" si="0"/>
        <v>-9.9999999699000011</v>
      </c>
      <c r="I6" t="s">
        <v>53</v>
      </c>
      <c r="K6" s="9"/>
    </row>
    <row r="7" spans="1:12" x14ac:dyDescent="0.2">
      <c r="A7" t="s">
        <v>63</v>
      </c>
      <c r="B7" t="s">
        <v>12</v>
      </c>
      <c r="C7" s="4">
        <v>44697</v>
      </c>
      <c r="D7" s="5" t="s">
        <v>7</v>
      </c>
      <c r="E7" s="6">
        <v>309.94</v>
      </c>
      <c r="F7" s="6">
        <v>4.9364392999999999E-2</v>
      </c>
      <c r="G7" s="6">
        <v>0</v>
      </c>
      <c r="H7" s="6">
        <f t="shared" si="0"/>
        <v>-15.29999996642</v>
      </c>
      <c r="I7" s="15" t="s">
        <v>53</v>
      </c>
      <c r="K7" s="9"/>
    </row>
    <row r="8" spans="1:12" x14ac:dyDescent="0.2">
      <c r="A8" t="s">
        <v>63</v>
      </c>
      <c r="B8" t="s">
        <v>8</v>
      </c>
      <c r="C8" s="4">
        <v>44763</v>
      </c>
      <c r="D8" s="5" t="s">
        <v>7</v>
      </c>
      <c r="E8" s="6">
        <v>106.98</v>
      </c>
      <c r="F8" s="6">
        <v>7.9641054000000003E-2</v>
      </c>
      <c r="G8" s="6">
        <v>0</v>
      </c>
      <c r="H8" s="6">
        <f t="shared" si="0"/>
        <v>-8.5199999569200013</v>
      </c>
      <c r="I8" s="15" t="s">
        <v>53</v>
      </c>
      <c r="K8" s="9"/>
    </row>
    <row r="9" spans="1:12" x14ac:dyDescent="0.2">
      <c r="A9" t="s">
        <v>63</v>
      </c>
      <c r="B9" t="s">
        <v>13</v>
      </c>
      <c r="C9" s="4">
        <v>44774</v>
      </c>
      <c r="D9" s="5" t="s">
        <v>7</v>
      </c>
      <c r="E9" s="6">
        <v>135</v>
      </c>
      <c r="F9" s="6">
        <v>4.9111110999999999E-2</v>
      </c>
      <c r="G9" s="6">
        <v>0</v>
      </c>
      <c r="H9" s="6">
        <f t="shared" si="0"/>
        <v>-6.6299999849999995</v>
      </c>
      <c r="I9" s="15" t="s">
        <v>53</v>
      </c>
      <c r="K9" s="9"/>
    </row>
    <row r="10" spans="1:12" x14ac:dyDescent="0.2">
      <c r="A10" t="s">
        <v>63</v>
      </c>
      <c r="B10" t="s">
        <v>14</v>
      </c>
      <c r="C10" s="4">
        <v>44810</v>
      </c>
      <c r="D10" s="5" t="s">
        <v>7</v>
      </c>
      <c r="E10" s="6">
        <v>156.46</v>
      </c>
      <c r="F10" s="6">
        <v>0.19174229800000001</v>
      </c>
      <c r="G10" s="6">
        <v>0</v>
      </c>
      <c r="H10" s="6">
        <f t="shared" si="0"/>
        <v>-29.999999945080003</v>
      </c>
      <c r="I10" s="15" t="s">
        <v>53</v>
      </c>
      <c r="K10" s="9"/>
    </row>
    <row r="11" spans="1:12" x14ac:dyDescent="0.2">
      <c r="A11" t="s">
        <v>63</v>
      </c>
      <c r="B11" t="s">
        <v>13</v>
      </c>
      <c r="C11" s="4">
        <v>44810</v>
      </c>
      <c r="D11" s="5" t="s">
        <v>7</v>
      </c>
      <c r="E11" s="6">
        <v>128</v>
      </c>
      <c r="F11" s="6">
        <v>0.15625</v>
      </c>
      <c r="G11" s="6">
        <v>0</v>
      </c>
      <c r="H11" s="6">
        <f t="shared" si="0"/>
        <v>-20</v>
      </c>
      <c r="I11" s="15" t="s">
        <v>53</v>
      </c>
      <c r="K11" s="9"/>
    </row>
    <row r="12" spans="1:12" x14ac:dyDescent="0.2">
      <c r="A12" t="s">
        <v>63</v>
      </c>
      <c r="B12" t="s">
        <v>15</v>
      </c>
      <c r="C12" s="4">
        <v>44810</v>
      </c>
      <c r="D12" s="5" t="s">
        <v>7</v>
      </c>
      <c r="E12" s="6">
        <v>107.87</v>
      </c>
      <c r="F12" s="6">
        <v>0.27812801300000001</v>
      </c>
      <c r="G12" s="6">
        <v>1.5</v>
      </c>
      <c r="H12" s="6">
        <f t="shared" si="0"/>
        <v>-31.50166876231</v>
      </c>
      <c r="I12" t="s">
        <v>53</v>
      </c>
      <c r="K12" s="9"/>
    </row>
    <row r="13" spans="1:12" x14ac:dyDescent="0.2">
      <c r="A13" t="s">
        <v>63</v>
      </c>
      <c r="B13" t="s">
        <v>16</v>
      </c>
      <c r="C13" s="4">
        <v>44810</v>
      </c>
      <c r="D13" s="5" t="s">
        <v>7</v>
      </c>
      <c r="E13" s="6">
        <v>255.02</v>
      </c>
      <c r="F13" s="6">
        <v>6.6897237999999998E-2</v>
      </c>
      <c r="G13" s="6">
        <v>1.5</v>
      </c>
      <c r="H13" s="6">
        <f t="shared" si="0"/>
        <v>-18.56013363476</v>
      </c>
      <c r="I13" t="s">
        <v>53</v>
      </c>
      <c r="K13" s="9"/>
    </row>
    <row r="14" spans="1:12" x14ac:dyDescent="0.2">
      <c r="A14" t="s">
        <v>63</v>
      </c>
      <c r="B14" t="s">
        <v>14</v>
      </c>
      <c r="C14" s="4">
        <v>44853</v>
      </c>
      <c r="D14" s="5" t="s">
        <v>7</v>
      </c>
      <c r="E14" s="6">
        <v>141.5</v>
      </c>
      <c r="F14" s="6">
        <v>0.28268551200000003</v>
      </c>
      <c r="G14" s="6">
        <v>1.5</v>
      </c>
      <c r="H14" s="6">
        <f t="shared" si="0"/>
        <v>-41.499999948000003</v>
      </c>
      <c r="I14" t="s">
        <v>53</v>
      </c>
      <c r="K14" s="9"/>
    </row>
    <row r="15" spans="1:12" x14ac:dyDescent="0.2">
      <c r="A15" t="s">
        <v>63</v>
      </c>
      <c r="B15" t="s">
        <v>13</v>
      </c>
      <c r="C15" s="4">
        <v>44858</v>
      </c>
      <c r="D15" s="5" t="s">
        <v>7</v>
      </c>
      <c r="E15" s="6">
        <v>120</v>
      </c>
      <c r="F15" s="6">
        <v>0.399166666</v>
      </c>
      <c r="G15" s="6">
        <v>1.5</v>
      </c>
      <c r="H15" s="6">
        <f t="shared" si="0"/>
        <v>-49.399999919999999</v>
      </c>
      <c r="I15" t="s">
        <v>53</v>
      </c>
      <c r="K15" s="9"/>
    </row>
    <row r="16" spans="1:12" x14ac:dyDescent="0.2">
      <c r="A16" t="s">
        <v>63</v>
      </c>
      <c r="B16" t="s">
        <v>17</v>
      </c>
      <c r="C16" s="4">
        <v>44873</v>
      </c>
      <c r="D16" s="5" t="s">
        <v>7</v>
      </c>
      <c r="E16" s="6">
        <v>228.98</v>
      </c>
      <c r="F16" s="6">
        <v>2.1836349000000001E-2</v>
      </c>
      <c r="G16" s="6">
        <v>0</v>
      </c>
      <c r="H16" s="6">
        <f t="shared" si="0"/>
        <v>-5.0000871940199998</v>
      </c>
      <c r="I16" t="s">
        <v>53</v>
      </c>
      <c r="K16" s="9"/>
    </row>
    <row r="17" spans="1:11" x14ac:dyDescent="0.2">
      <c r="A17" t="s">
        <v>63</v>
      </c>
      <c r="B17" t="s">
        <v>15</v>
      </c>
      <c r="C17" s="4">
        <v>44949</v>
      </c>
      <c r="D17" s="5" t="s">
        <v>7</v>
      </c>
      <c r="E17" s="6">
        <v>99.74</v>
      </c>
      <c r="F17" s="6">
        <v>0.50131344099999997</v>
      </c>
      <c r="G17" s="6">
        <v>1.5</v>
      </c>
      <c r="H17" s="6">
        <f t="shared" si="0"/>
        <v>-51.501002605339991</v>
      </c>
      <c r="I17" t="s">
        <v>53</v>
      </c>
      <c r="K17" s="9"/>
    </row>
    <row r="18" spans="1:11" x14ac:dyDescent="0.2">
      <c r="A18" t="s">
        <v>63</v>
      </c>
      <c r="B18" t="s">
        <v>18</v>
      </c>
      <c r="C18" s="4">
        <v>44949</v>
      </c>
      <c r="D18" s="5" t="s">
        <v>7</v>
      </c>
      <c r="E18" s="6">
        <v>95.08</v>
      </c>
      <c r="F18" s="6">
        <v>0.376330514</v>
      </c>
      <c r="G18" s="6">
        <v>1.5</v>
      </c>
      <c r="H18" s="6">
        <f t="shared" si="0"/>
        <v>-37.281505271119997</v>
      </c>
      <c r="I18" t="s">
        <v>53</v>
      </c>
      <c r="K18" s="9"/>
    </row>
    <row r="19" spans="1:11" x14ac:dyDescent="0.2">
      <c r="A19" t="s">
        <v>63</v>
      </c>
      <c r="B19" t="s">
        <v>19</v>
      </c>
      <c r="C19" s="4">
        <v>44949</v>
      </c>
      <c r="D19" s="5" t="s">
        <v>7</v>
      </c>
      <c r="E19" s="6">
        <v>35.877000000000002</v>
      </c>
      <c r="F19" s="6">
        <v>0.41810215000000001</v>
      </c>
      <c r="G19" s="6">
        <v>1.5</v>
      </c>
      <c r="H19" s="6">
        <f t="shared" si="0"/>
        <v>-16.500250835550002</v>
      </c>
      <c r="I19" t="s">
        <v>53</v>
      </c>
      <c r="K19" s="9"/>
    </row>
    <row r="20" spans="1:11" x14ac:dyDescent="0.2">
      <c r="A20" t="s">
        <v>63</v>
      </c>
      <c r="B20" t="s">
        <v>13</v>
      </c>
      <c r="C20" s="4">
        <v>44956</v>
      </c>
      <c r="D20" s="5" t="s">
        <v>7</v>
      </c>
      <c r="E20" s="6">
        <v>102.1</v>
      </c>
      <c r="F20" s="6">
        <v>0.39903620099999998</v>
      </c>
      <c r="G20" s="6">
        <v>1.5</v>
      </c>
      <c r="H20" s="6">
        <f t="shared" si="0"/>
        <v>-42.241596122099999</v>
      </c>
      <c r="I20" t="s">
        <v>53</v>
      </c>
      <c r="K20" s="9"/>
    </row>
    <row r="21" spans="1:11" x14ac:dyDescent="0.2">
      <c r="A21" t="s">
        <v>63</v>
      </c>
      <c r="B21" t="s">
        <v>20</v>
      </c>
      <c r="C21" s="4">
        <v>44958</v>
      </c>
      <c r="D21" s="5" t="s">
        <v>7</v>
      </c>
      <c r="E21" s="6">
        <v>113.25</v>
      </c>
      <c r="F21" s="6">
        <v>0.26570944099999999</v>
      </c>
      <c r="G21" s="6">
        <v>1.5</v>
      </c>
      <c r="H21" s="6">
        <f t="shared" si="0"/>
        <v>-31.59159419325</v>
      </c>
      <c r="I21" t="s">
        <v>53</v>
      </c>
      <c r="K21" s="9"/>
    </row>
    <row r="22" spans="1:11" x14ac:dyDescent="0.2">
      <c r="A22" t="s">
        <v>63</v>
      </c>
      <c r="B22" t="s">
        <v>17</v>
      </c>
      <c r="C22" s="4">
        <v>45026</v>
      </c>
      <c r="D22" s="5" t="s">
        <v>7</v>
      </c>
      <c r="E22" s="6">
        <v>289</v>
      </c>
      <c r="F22" s="6">
        <v>0.21615916900000001</v>
      </c>
      <c r="G22" s="6">
        <v>1.5</v>
      </c>
      <c r="H22" s="6">
        <f t="shared" si="0"/>
        <v>-63.969999841000003</v>
      </c>
      <c r="I22" t="s">
        <v>53</v>
      </c>
      <c r="K22" s="9"/>
    </row>
    <row r="23" spans="1:11" x14ac:dyDescent="0.2">
      <c r="A23" t="s">
        <v>63</v>
      </c>
      <c r="B23" t="s">
        <v>14</v>
      </c>
      <c r="C23" s="4">
        <v>45044</v>
      </c>
      <c r="D23" s="5" t="s">
        <v>7</v>
      </c>
      <c r="E23" s="6">
        <v>168.58</v>
      </c>
      <c r="F23" s="6">
        <v>0.59319017600000001</v>
      </c>
      <c r="G23" s="6">
        <v>1.5</v>
      </c>
      <c r="H23" s="6">
        <f t="shared" si="0"/>
        <v>-101.49999987008</v>
      </c>
      <c r="I23" t="s">
        <v>53</v>
      </c>
      <c r="K23" s="9"/>
    </row>
    <row r="24" spans="1:11" x14ac:dyDescent="0.2">
      <c r="A24" t="s">
        <v>63</v>
      </c>
      <c r="B24" t="s">
        <v>13</v>
      </c>
      <c r="C24" s="4">
        <v>45047</v>
      </c>
      <c r="D24" s="5" t="s">
        <v>7</v>
      </c>
      <c r="E24" s="6">
        <v>105</v>
      </c>
      <c r="F24" s="6">
        <v>0.95238095199999995</v>
      </c>
      <c r="G24" s="6">
        <v>1.5</v>
      </c>
      <c r="H24" s="6">
        <f t="shared" si="0"/>
        <v>-101.49999996</v>
      </c>
      <c r="I24" t="s">
        <v>53</v>
      </c>
      <c r="K24" s="9"/>
    </row>
    <row r="25" spans="1:11" x14ac:dyDescent="0.2">
      <c r="A25" t="s">
        <v>63</v>
      </c>
      <c r="B25" t="s">
        <v>21</v>
      </c>
      <c r="C25" s="4">
        <v>45062</v>
      </c>
      <c r="D25" s="5" t="s">
        <v>7</v>
      </c>
      <c r="E25" s="6">
        <v>170.11</v>
      </c>
      <c r="F25" s="6">
        <v>0.56628064099999997</v>
      </c>
      <c r="G25" s="6">
        <v>1.5</v>
      </c>
      <c r="H25" s="6">
        <f t="shared" si="0"/>
        <v>-97.829999840509998</v>
      </c>
      <c r="I25" t="s">
        <v>53</v>
      </c>
      <c r="K25" s="9"/>
    </row>
    <row r="26" spans="1:11" x14ac:dyDescent="0.2">
      <c r="A26" t="s">
        <v>63</v>
      </c>
      <c r="B26" t="s">
        <v>11</v>
      </c>
      <c r="C26" s="4">
        <v>45089</v>
      </c>
      <c r="D26" s="5" t="s">
        <v>7</v>
      </c>
      <c r="E26" s="6">
        <v>97.96</v>
      </c>
      <c r="F26" s="6">
        <v>0.50367496899999997</v>
      </c>
      <c r="G26" s="6">
        <v>1.5</v>
      </c>
      <c r="H26" s="6">
        <f t="shared" si="0"/>
        <v>-50.839999963239997</v>
      </c>
      <c r="I26" t="s">
        <v>53</v>
      </c>
      <c r="K26" s="9"/>
    </row>
    <row r="27" spans="1:11" x14ac:dyDescent="0.2">
      <c r="A27" t="s">
        <v>63</v>
      </c>
      <c r="B27" t="s">
        <v>14</v>
      </c>
      <c r="C27" s="4">
        <v>45090</v>
      </c>
      <c r="D27" s="5" t="s">
        <v>7</v>
      </c>
      <c r="E27" s="6">
        <v>183.44</v>
      </c>
      <c r="F27" s="6">
        <v>0.32801273399999997</v>
      </c>
      <c r="G27" s="6">
        <v>1.5</v>
      </c>
      <c r="H27" s="6">
        <f t="shared" si="0"/>
        <v>-61.670655924959995</v>
      </c>
      <c r="I27" t="s">
        <v>53</v>
      </c>
      <c r="K27" s="9"/>
    </row>
    <row r="28" spans="1:11" x14ac:dyDescent="0.2">
      <c r="A28" t="s">
        <v>63</v>
      </c>
      <c r="B28" t="s">
        <v>9</v>
      </c>
      <c r="C28" s="4">
        <v>45099</v>
      </c>
      <c r="D28" s="5" t="s">
        <v>7</v>
      </c>
      <c r="E28" s="6">
        <v>42.933999999999997</v>
      </c>
      <c r="F28" s="6">
        <v>1.37725582</v>
      </c>
      <c r="G28" s="6">
        <v>1.5</v>
      </c>
      <c r="H28" s="6">
        <f t="shared" si="0"/>
        <v>-60.63110137588</v>
      </c>
      <c r="I28" t="s">
        <v>53</v>
      </c>
      <c r="K28" s="9"/>
    </row>
    <row r="29" spans="1:11" x14ac:dyDescent="0.2">
      <c r="A29" t="s">
        <v>63</v>
      </c>
      <c r="B29" t="s">
        <v>15</v>
      </c>
      <c r="C29" s="4">
        <v>45107</v>
      </c>
      <c r="D29" s="5" t="s">
        <v>7</v>
      </c>
      <c r="E29" s="6">
        <v>120.74</v>
      </c>
      <c r="F29" s="6">
        <v>0.299662072</v>
      </c>
      <c r="G29" s="6">
        <v>1.5</v>
      </c>
      <c r="H29" s="6">
        <f t="shared" si="0"/>
        <v>-37.68119857328</v>
      </c>
      <c r="I29" t="s">
        <v>53</v>
      </c>
      <c r="K29" s="9"/>
    </row>
    <row r="30" spans="1:11" x14ac:dyDescent="0.2">
      <c r="A30" t="s">
        <v>63</v>
      </c>
      <c r="B30" t="s">
        <v>14</v>
      </c>
      <c r="C30" s="4">
        <v>45114</v>
      </c>
      <c r="D30" s="5" t="s">
        <v>7</v>
      </c>
      <c r="E30" s="6">
        <v>191.36</v>
      </c>
      <c r="F30" s="6">
        <v>0.73160535100000001</v>
      </c>
      <c r="G30" s="6">
        <v>1.5</v>
      </c>
      <c r="H30" s="6">
        <f t="shared" si="0"/>
        <v>-141.49999996736003</v>
      </c>
      <c r="I30" t="s">
        <v>53</v>
      </c>
      <c r="K30" s="9"/>
    </row>
    <row r="31" spans="1:11" x14ac:dyDescent="0.2">
      <c r="A31" t="s">
        <v>63</v>
      </c>
      <c r="B31" t="s">
        <v>17</v>
      </c>
      <c r="C31" s="4">
        <v>45114</v>
      </c>
      <c r="D31" s="5" t="s">
        <v>7</v>
      </c>
      <c r="E31" s="6">
        <v>339.34</v>
      </c>
      <c r="F31" s="6">
        <v>0.18029115300000001</v>
      </c>
      <c r="G31" s="6">
        <v>1.5</v>
      </c>
      <c r="H31" s="6">
        <f t="shared" si="0"/>
        <v>-62.67999985902</v>
      </c>
      <c r="I31" t="s">
        <v>53</v>
      </c>
      <c r="K31" s="9"/>
    </row>
    <row r="32" spans="1:11" x14ac:dyDescent="0.2">
      <c r="A32" t="s">
        <v>63</v>
      </c>
      <c r="B32" t="s">
        <v>11</v>
      </c>
      <c r="C32" s="4">
        <v>45145</v>
      </c>
      <c r="D32" s="5" t="s">
        <v>7</v>
      </c>
      <c r="E32" s="6">
        <v>101.54</v>
      </c>
      <c r="F32" s="6">
        <v>0.58641610499999997</v>
      </c>
      <c r="G32" s="6">
        <v>1.5</v>
      </c>
      <c r="H32" s="6">
        <f t="shared" si="0"/>
        <v>-61.044691301699999</v>
      </c>
      <c r="I32" t="s">
        <v>53</v>
      </c>
      <c r="K32" s="9"/>
    </row>
    <row r="33" spans="1:11" x14ac:dyDescent="0.2">
      <c r="A33" t="s">
        <v>63</v>
      </c>
      <c r="B33" t="s">
        <v>6</v>
      </c>
      <c r="C33" s="4">
        <v>45146</v>
      </c>
      <c r="D33" s="5" t="s">
        <v>22</v>
      </c>
      <c r="E33" s="6">
        <v>247.59</v>
      </c>
      <c r="F33" s="6">
        <v>2.3881209E-2</v>
      </c>
      <c r="G33" s="6">
        <v>1.5</v>
      </c>
      <c r="H33" s="6">
        <f t="shared" si="0"/>
        <v>4.4127485363100005</v>
      </c>
      <c r="I33" t="s">
        <v>53</v>
      </c>
      <c r="K33" s="9"/>
    </row>
    <row r="34" spans="1:11" x14ac:dyDescent="0.2">
      <c r="A34" t="s">
        <v>63</v>
      </c>
      <c r="B34" t="s">
        <v>23</v>
      </c>
      <c r="C34" s="4">
        <v>45146</v>
      </c>
      <c r="D34" s="5" t="s">
        <v>7</v>
      </c>
      <c r="E34" s="6">
        <v>226.34</v>
      </c>
      <c r="F34" s="6">
        <v>9.1338160000000002E-2</v>
      </c>
      <c r="G34" s="6">
        <v>1.5</v>
      </c>
      <c r="H34" s="6">
        <f t="shared" ref="H34:H65" si="1">IF(D34="BUY",-(E34*F34+G34),E34*F34-G34)</f>
        <v>-22.173479134400001</v>
      </c>
      <c r="I34" t="s">
        <v>53</v>
      </c>
      <c r="K34" s="9"/>
    </row>
    <row r="35" spans="1:11" x14ac:dyDescent="0.2">
      <c r="A35" t="s">
        <v>63</v>
      </c>
      <c r="B35" t="s">
        <v>11</v>
      </c>
      <c r="C35" s="4">
        <v>45170</v>
      </c>
      <c r="D35" s="5" t="s">
        <v>7</v>
      </c>
      <c r="E35" s="6">
        <v>98.53</v>
      </c>
      <c r="F35" s="6">
        <v>1.1146858820000001</v>
      </c>
      <c r="G35" s="6">
        <v>1.5</v>
      </c>
      <c r="H35" s="6">
        <f t="shared" si="1"/>
        <v>-111.32999995346</v>
      </c>
      <c r="I35" t="s">
        <v>53</v>
      </c>
      <c r="K35" s="9"/>
    </row>
    <row r="36" spans="1:11" x14ac:dyDescent="0.2">
      <c r="A36" t="s">
        <v>63</v>
      </c>
      <c r="B36" t="s">
        <v>24</v>
      </c>
      <c r="C36" s="4">
        <v>45264</v>
      </c>
      <c r="D36" s="5" t="s">
        <v>7</v>
      </c>
      <c r="E36" s="6">
        <v>143.53</v>
      </c>
      <c r="F36" s="6">
        <v>0.24782275400000001</v>
      </c>
      <c r="G36" s="6">
        <v>1.5</v>
      </c>
      <c r="H36" s="6">
        <f t="shared" si="1"/>
        <v>-37.069999881619999</v>
      </c>
      <c r="I36" t="s">
        <v>53</v>
      </c>
      <c r="K36" s="9"/>
    </row>
    <row r="37" spans="1:11" x14ac:dyDescent="0.2">
      <c r="A37" t="s">
        <v>63</v>
      </c>
      <c r="B37" t="s">
        <v>24</v>
      </c>
      <c r="C37" s="4">
        <v>45287</v>
      </c>
      <c r="D37" s="5" t="s">
        <v>7</v>
      </c>
      <c r="E37" s="6">
        <v>176.11</v>
      </c>
      <c r="F37" s="6">
        <v>0.114984952</v>
      </c>
      <c r="G37" s="6">
        <v>1.5</v>
      </c>
      <c r="H37" s="6">
        <f t="shared" si="1"/>
        <v>-21.749999896720002</v>
      </c>
      <c r="I37" t="s">
        <v>53</v>
      </c>
      <c r="K37" s="9"/>
    </row>
    <row r="38" spans="1:11" x14ac:dyDescent="0.2">
      <c r="A38" t="s">
        <v>63</v>
      </c>
      <c r="B38" t="s">
        <v>11</v>
      </c>
      <c r="C38" s="4">
        <v>45299</v>
      </c>
      <c r="D38" s="5" t="s">
        <v>7</v>
      </c>
      <c r="E38" s="6">
        <v>93.1</v>
      </c>
      <c r="F38" s="6">
        <v>0.42341568200000002</v>
      </c>
      <c r="G38" s="6">
        <v>1.5</v>
      </c>
      <c r="H38" s="6">
        <f t="shared" si="1"/>
        <v>-40.919999994199998</v>
      </c>
      <c r="I38" t="s">
        <v>53</v>
      </c>
      <c r="K38" s="9"/>
    </row>
    <row r="39" spans="1:11" x14ac:dyDescent="0.2">
      <c r="A39" t="s">
        <v>63</v>
      </c>
      <c r="B39" t="s">
        <v>21</v>
      </c>
      <c r="C39" s="4">
        <v>45299</v>
      </c>
      <c r="D39" s="5" t="s">
        <v>22</v>
      </c>
      <c r="E39" s="6">
        <v>191.32</v>
      </c>
      <c r="F39" s="6">
        <v>0.56628064099999997</v>
      </c>
      <c r="G39" s="6">
        <v>1.5</v>
      </c>
      <c r="H39" s="6">
        <f t="shared" si="1"/>
        <v>106.84081223611999</v>
      </c>
      <c r="I39" t="s">
        <v>53</v>
      </c>
      <c r="K39" s="9"/>
    </row>
    <row r="40" spans="1:11" x14ac:dyDescent="0.2">
      <c r="A40" t="s">
        <v>63</v>
      </c>
      <c r="B40" t="s">
        <v>20</v>
      </c>
      <c r="C40" s="4">
        <v>45301</v>
      </c>
      <c r="D40" s="5" t="s">
        <v>7</v>
      </c>
      <c r="E40" s="6">
        <v>196.29</v>
      </c>
      <c r="F40" s="6">
        <v>0.25473553300000001</v>
      </c>
      <c r="G40" s="6">
        <v>1.5</v>
      </c>
      <c r="H40" s="6">
        <f t="shared" si="1"/>
        <v>-51.502037772569999</v>
      </c>
      <c r="I40" t="s">
        <v>53</v>
      </c>
      <c r="K40" s="9"/>
    </row>
    <row r="41" spans="1:11" x14ac:dyDescent="0.2">
      <c r="A41" t="s">
        <v>63</v>
      </c>
      <c r="B41" t="s">
        <v>24</v>
      </c>
      <c r="C41" s="4">
        <v>45302</v>
      </c>
      <c r="D41" s="5" t="s">
        <v>7</v>
      </c>
      <c r="E41" s="6">
        <v>159</v>
      </c>
      <c r="F41" s="6">
        <v>0.44025157199999998</v>
      </c>
      <c r="G41" s="6">
        <v>1.5</v>
      </c>
      <c r="H41" s="6">
        <f t="shared" si="1"/>
        <v>-71.499999947999996</v>
      </c>
      <c r="I41" t="s">
        <v>53</v>
      </c>
      <c r="K41" s="9"/>
    </row>
    <row r="42" spans="1:11" x14ac:dyDescent="0.2">
      <c r="A42" t="s">
        <v>63</v>
      </c>
      <c r="B42" t="s">
        <v>13</v>
      </c>
      <c r="C42" s="4">
        <v>45314</v>
      </c>
      <c r="D42" s="5" t="s">
        <v>7</v>
      </c>
      <c r="E42" s="6">
        <v>154.82</v>
      </c>
      <c r="F42" s="6">
        <v>0.30449049099999997</v>
      </c>
      <c r="G42" s="6">
        <v>1.5</v>
      </c>
      <c r="H42" s="6">
        <f t="shared" si="1"/>
        <v>-48.641217816619992</v>
      </c>
      <c r="I42" t="s">
        <v>53</v>
      </c>
      <c r="K42" s="9"/>
    </row>
    <row r="43" spans="1:11" x14ac:dyDescent="0.2">
      <c r="A43" t="s">
        <v>63</v>
      </c>
      <c r="B43" t="s">
        <v>21</v>
      </c>
      <c r="C43" s="4">
        <v>45370</v>
      </c>
      <c r="D43" s="5" t="s">
        <v>7</v>
      </c>
      <c r="E43" s="6">
        <v>155.59</v>
      </c>
      <c r="F43" s="6">
        <v>0.23543552000000001</v>
      </c>
      <c r="G43" s="6">
        <v>1.5</v>
      </c>
      <c r="H43" s="6">
        <f t="shared" si="1"/>
        <v>-38.131412556800001</v>
      </c>
      <c r="I43" t="s">
        <v>53</v>
      </c>
      <c r="K43" s="9"/>
    </row>
    <row r="44" spans="1:11" x14ac:dyDescent="0.2">
      <c r="A44" t="s">
        <v>63</v>
      </c>
      <c r="B44" t="s">
        <v>11</v>
      </c>
      <c r="C44" s="4">
        <v>45393</v>
      </c>
      <c r="D44" s="5" t="s">
        <v>7</v>
      </c>
      <c r="E44" s="6">
        <v>85.76</v>
      </c>
      <c r="F44" s="6">
        <v>1.10327215</v>
      </c>
      <c r="G44" s="6">
        <v>1.5</v>
      </c>
      <c r="H44" s="6">
        <f t="shared" si="1"/>
        <v>-96.116619584000006</v>
      </c>
      <c r="I44" t="s">
        <v>53</v>
      </c>
      <c r="K44" s="9"/>
    </row>
    <row r="45" spans="1:11" x14ac:dyDescent="0.2">
      <c r="A45" t="s">
        <v>63</v>
      </c>
      <c r="B45" t="s">
        <v>23</v>
      </c>
      <c r="C45" s="4">
        <v>45393</v>
      </c>
      <c r="D45" s="5" t="s">
        <v>22</v>
      </c>
      <c r="E45" s="6">
        <v>192.37</v>
      </c>
      <c r="F45" s="6">
        <v>9.1338160000000002E-2</v>
      </c>
      <c r="G45" s="6">
        <v>1.5</v>
      </c>
      <c r="H45" s="6">
        <f t="shared" si="1"/>
        <v>16.070721839200001</v>
      </c>
      <c r="I45" t="s">
        <v>53</v>
      </c>
      <c r="K45" s="9"/>
    </row>
    <row r="46" spans="1:11" x14ac:dyDescent="0.2">
      <c r="A46" t="s">
        <v>63</v>
      </c>
      <c r="B46" t="s">
        <v>12</v>
      </c>
      <c r="C46" s="4">
        <v>45393</v>
      </c>
      <c r="D46" s="5" t="s">
        <v>22</v>
      </c>
      <c r="E46" s="6">
        <v>408</v>
      </c>
      <c r="F46" s="6">
        <v>4.9364392999999999E-2</v>
      </c>
      <c r="G46" s="6">
        <v>1.5</v>
      </c>
      <c r="H46" s="6">
        <f t="shared" si="1"/>
        <v>18.640672343999999</v>
      </c>
      <c r="I46" t="s">
        <v>53</v>
      </c>
      <c r="K46" s="9"/>
    </row>
    <row r="47" spans="1:11" x14ac:dyDescent="0.2">
      <c r="A47" t="s">
        <v>63</v>
      </c>
      <c r="B47" t="s">
        <v>8</v>
      </c>
      <c r="C47" s="4">
        <v>45393</v>
      </c>
      <c r="D47" s="5" t="s">
        <v>22</v>
      </c>
      <c r="E47" s="6">
        <v>159</v>
      </c>
      <c r="F47" s="6">
        <v>0.122472742</v>
      </c>
      <c r="G47" s="6">
        <v>1.5</v>
      </c>
      <c r="H47" s="6">
        <f t="shared" si="1"/>
        <v>17.973165978000001</v>
      </c>
      <c r="I47" t="s">
        <v>53</v>
      </c>
      <c r="K47" s="9"/>
    </row>
    <row r="48" spans="1:11" x14ac:dyDescent="0.2">
      <c r="A48" t="s">
        <v>63</v>
      </c>
      <c r="B48" t="s">
        <v>10</v>
      </c>
      <c r="C48" s="4">
        <v>45393</v>
      </c>
      <c r="D48" s="5" t="s">
        <v>22</v>
      </c>
      <c r="E48" s="6">
        <v>122.55</v>
      </c>
      <c r="F48" s="6">
        <v>8.1708881999999997E-2</v>
      </c>
      <c r="G48" s="6">
        <v>1.5</v>
      </c>
      <c r="H48" s="6">
        <f t="shared" si="1"/>
        <v>8.5134234890999991</v>
      </c>
      <c r="I48" t="s">
        <v>53</v>
      </c>
      <c r="K48" s="9"/>
    </row>
    <row r="49" spans="1:11" x14ac:dyDescent="0.2">
      <c r="A49" t="s">
        <v>63</v>
      </c>
      <c r="B49" t="s">
        <v>21</v>
      </c>
      <c r="C49" s="4">
        <v>45393</v>
      </c>
      <c r="D49" s="5" t="s">
        <v>22</v>
      </c>
      <c r="E49" s="6">
        <v>154.66</v>
      </c>
      <c r="F49" s="6">
        <v>0.23543552000000001</v>
      </c>
      <c r="G49" s="6">
        <v>1.5</v>
      </c>
      <c r="H49" s="6">
        <f t="shared" si="1"/>
        <v>34.912457523200004</v>
      </c>
      <c r="I49" t="s">
        <v>53</v>
      </c>
      <c r="K49" s="9"/>
    </row>
    <row r="50" spans="1:11" x14ac:dyDescent="0.2">
      <c r="A50" t="s">
        <v>63</v>
      </c>
      <c r="B50" t="s">
        <v>17</v>
      </c>
      <c r="C50" s="4">
        <v>45426</v>
      </c>
      <c r="D50" s="5" t="s">
        <v>7</v>
      </c>
      <c r="E50" s="6">
        <v>416.95</v>
      </c>
      <c r="F50" s="6">
        <v>0.14390283600000001</v>
      </c>
      <c r="G50" s="6">
        <v>1.5</v>
      </c>
      <c r="H50" s="6">
        <f t="shared" si="1"/>
        <v>-61.5002874702</v>
      </c>
      <c r="I50" t="s">
        <v>53</v>
      </c>
      <c r="K50" s="9"/>
    </row>
    <row r="51" spans="1:11" x14ac:dyDescent="0.2">
      <c r="A51" t="s">
        <v>63</v>
      </c>
      <c r="B51" t="s">
        <v>25</v>
      </c>
      <c r="C51" s="4">
        <v>45428</v>
      </c>
      <c r="D51" s="5" t="s">
        <v>7</v>
      </c>
      <c r="E51" s="6">
        <v>484.7</v>
      </c>
      <c r="F51" s="6">
        <v>0.22704765800000001</v>
      </c>
      <c r="G51" s="6">
        <v>1.5</v>
      </c>
      <c r="H51" s="6">
        <f t="shared" si="1"/>
        <v>-111.54999983260001</v>
      </c>
      <c r="I51" t="s">
        <v>53</v>
      </c>
      <c r="K51" s="9"/>
    </row>
    <row r="52" spans="1:11" x14ac:dyDescent="0.2">
      <c r="A52" t="s">
        <v>63</v>
      </c>
      <c r="B52" t="s">
        <v>17</v>
      </c>
      <c r="C52" s="4">
        <v>45465</v>
      </c>
      <c r="D52" s="5" t="s">
        <v>7</v>
      </c>
      <c r="E52" s="6">
        <v>449.7</v>
      </c>
      <c r="F52" s="6">
        <v>0.21416690299999999</v>
      </c>
      <c r="G52" s="6">
        <v>1.5</v>
      </c>
      <c r="H52" s="6">
        <f t="shared" si="1"/>
        <v>-97.810856279099994</v>
      </c>
      <c r="I52" t="s">
        <v>53</v>
      </c>
      <c r="K52" s="9"/>
    </row>
    <row r="53" spans="1:11" x14ac:dyDescent="0.2">
      <c r="A53" t="s">
        <v>63</v>
      </c>
      <c r="B53" t="s">
        <v>9</v>
      </c>
      <c r="C53" s="4">
        <v>45467</v>
      </c>
      <c r="D53" s="5" t="s">
        <v>7</v>
      </c>
      <c r="E53" s="6">
        <v>126</v>
      </c>
      <c r="F53" s="6">
        <v>1.1904809139999999</v>
      </c>
      <c r="G53" s="6">
        <v>1.5</v>
      </c>
      <c r="H53" s="6">
        <f t="shared" si="1"/>
        <v>-151.50059516399998</v>
      </c>
      <c r="I53" t="s">
        <v>53</v>
      </c>
      <c r="K53" s="9"/>
    </row>
    <row r="54" spans="1:11" x14ac:dyDescent="0.2">
      <c r="A54" t="s">
        <v>63</v>
      </c>
      <c r="B54" t="s">
        <v>9</v>
      </c>
      <c r="C54" s="4">
        <v>45506</v>
      </c>
      <c r="D54" s="5" t="s">
        <v>7</v>
      </c>
      <c r="E54" s="6">
        <v>101.92</v>
      </c>
      <c r="F54" s="6">
        <v>1.1774633510000001</v>
      </c>
      <c r="G54" s="6">
        <v>1.5</v>
      </c>
      <c r="H54" s="6">
        <f t="shared" si="1"/>
        <v>-121.50706473392002</v>
      </c>
      <c r="I54" t="s">
        <v>53</v>
      </c>
      <c r="K54" s="9"/>
    </row>
    <row r="55" spans="1:11" x14ac:dyDescent="0.2">
      <c r="A55" t="s">
        <v>63</v>
      </c>
      <c r="B55" t="s">
        <v>13</v>
      </c>
      <c r="C55" s="4">
        <v>45506</v>
      </c>
      <c r="D55" s="5" t="s">
        <v>7</v>
      </c>
      <c r="E55" s="6">
        <v>161.33000000000001</v>
      </c>
      <c r="F55" s="6">
        <v>0.43389864099999997</v>
      </c>
      <c r="G55" s="6">
        <v>1.5</v>
      </c>
      <c r="H55" s="6">
        <f t="shared" si="1"/>
        <v>-71.500867752529999</v>
      </c>
      <c r="I55" t="s">
        <v>53</v>
      </c>
      <c r="K55" s="9"/>
    </row>
    <row r="56" spans="1:11" x14ac:dyDescent="0.2">
      <c r="A56" t="s">
        <v>63</v>
      </c>
      <c r="B56" t="s">
        <v>26</v>
      </c>
      <c r="C56" s="4">
        <v>45532</v>
      </c>
      <c r="D56" s="5" t="s">
        <v>7</v>
      </c>
      <c r="E56" s="6">
        <v>94.31</v>
      </c>
      <c r="F56" s="6">
        <v>1</v>
      </c>
      <c r="G56" s="6">
        <v>1.5</v>
      </c>
      <c r="H56" s="6">
        <f t="shared" si="1"/>
        <v>-95.81</v>
      </c>
      <c r="I56" t="s">
        <v>53</v>
      </c>
      <c r="K56" s="9"/>
    </row>
    <row r="57" spans="1:11" x14ac:dyDescent="0.2">
      <c r="A57" t="s">
        <v>63</v>
      </c>
      <c r="B57" t="s">
        <v>27</v>
      </c>
      <c r="C57" s="4">
        <v>45572</v>
      </c>
      <c r="D57" s="5" t="s">
        <v>7</v>
      </c>
      <c r="E57" s="6">
        <v>261.42</v>
      </c>
      <c r="F57" s="6">
        <v>0.22951572100000001</v>
      </c>
      <c r="G57" s="6">
        <v>1.5</v>
      </c>
      <c r="H57" s="6">
        <f t="shared" si="1"/>
        <v>-61.499999783820002</v>
      </c>
      <c r="I57" t="s">
        <v>53</v>
      </c>
      <c r="K57" s="9"/>
    </row>
    <row r="58" spans="1:11" x14ac:dyDescent="0.2">
      <c r="A58" t="s">
        <v>63</v>
      </c>
      <c r="B58" t="s">
        <v>28</v>
      </c>
      <c r="C58" s="4">
        <v>45572</v>
      </c>
      <c r="D58" s="5" t="s">
        <v>7</v>
      </c>
      <c r="E58" s="6">
        <v>381.4</v>
      </c>
      <c r="F58" s="6">
        <v>0.153067645</v>
      </c>
      <c r="G58" s="6">
        <v>1.5</v>
      </c>
      <c r="H58" s="6">
        <f t="shared" si="1"/>
        <v>-59.879999802999997</v>
      </c>
      <c r="I58" t="s">
        <v>53</v>
      </c>
      <c r="K58" s="9"/>
    </row>
    <row r="59" spans="1:11" x14ac:dyDescent="0.2">
      <c r="A59" t="s">
        <v>63</v>
      </c>
      <c r="B59" t="s">
        <v>29</v>
      </c>
      <c r="C59" s="4">
        <v>45615</v>
      </c>
      <c r="D59" s="5" t="s">
        <v>7</v>
      </c>
      <c r="E59" s="6">
        <v>164.54</v>
      </c>
      <c r="F59" s="6">
        <v>0.60778930600000003</v>
      </c>
      <c r="G59" s="6">
        <v>1.5</v>
      </c>
      <c r="H59" s="6">
        <f t="shared" si="1"/>
        <v>-101.50565240924</v>
      </c>
      <c r="I59" t="s">
        <v>53</v>
      </c>
      <c r="K59" s="9"/>
    </row>
    <row r="60" spans="1:11" x14ac:dyDescent="0.2">
      <c r="A60" t="s">
        <v>63</v>
      </c>
      <c r="B60" t="s">
        <v>11</v>
      </c>
      <c r="C60" s="4">
        <v>45625</v>
      </c>
      <c r="D60" s="5" t="s">
        <v>7</v>
      </c>
      <c r="E60" s="6">
        <v>102.05</v>
      </c>
      <c r="F60" s="6">
        <v>1.8520696E-2</v>
      </c>
      <c r="G60" s="6">
        <v>0</v>
      </c>
      <c r="H60" s="6">
        <f t="shared" si="1"/>
        <v>-1.8900370268</v>
      </c>
      <c r="I60" t="s">
        <v>54</v>
      </c>
      <c r="K60" s="9"/>
    </row>
    <row r="61" spans="1:11" x14ac:dyDescent="0.2">
      <c r="A61" t="s">
        <v>63</v>
      </c>
      <c r="B61" t="s">
        <v>30</v>
      </c>
      <c r="C61" s="4">
        <v>45712</v>
      </c>
      <c r="D61" s="5" t="s">
        <v>7</v>
      </c>
      <c r="E61" s="6">
        <v>686.28</v>
      </c>
      <c r="F61" s="6">
        <v>0.24778516</v>
      </c>
      <c r="G61" s="6">
        <v>1.5</v>
      </c>
      <c r="H61" s="6">
        <f t="shared" si="1"/>
        <v>-171.54999960480001</v>
      </c>
      <c r="I61" t="s">
        <v>53</v>
      </c>
      <c r="K61" s="9"/>
    </row>
    <row r="62" spans="1:11" x14ac:dyDescent="0.2">
      <c r="A62" t="s">
        <v>63</v>
      </c>
      <c r="B62" t="s">
        <v>11</v>
      </c>
      <c r="C62" s="4">
        <v>45716</v>
      </c>
      <c r="D62" s="5" t="s">
        <v>7</v>
      </c>
      <c r="E62" s="6">
        <v>114.65</v>
      </c>
      <c r="F62" s="6">
        <v>1.6573332E-2</v>
      </c>
      <c r="G62" s="6">
        <v>0</v>
      </c>
      <c r="H62" s="6">
        <f t="shared" si="1"/>
        <v>-1.9001325138</v>
      </c>
      <c r="I62" t="s">
        <v>54</v>
      </c>
      <c r="K62" s="9"/>
    </row>
    <row r="63" spans="1:11" x14ac:dyDescent="0.2">
      <c r="A63" t="s">
        <v>63</v>
      </c>
      <c r="B63" t="s">
        <v>13</v>
      </c>
      <c r="C63" s="4">
        <v>45727</v>
      </c>
      <c r="D63" s="5" t="s">
        <v>7</v>
      </c>
      <c r="E63" s="6">
        <v>198.5</v>
      </c>
      <c r="F63" s="6">
        <v>0.40117081599999999</v>
      </c>
      <c r="G63" s="6">
        <v>1.5</v>
      </c>
      <c r="H63" s="6">
        <f t="shared" si="1"/>
        <v>-81.132406975999999</v>
      </c>
      <c r="I63" t="s">
        <v>53</v>
      </c>
      <c r="K63" s="9"/>
    </row>
    <row r="64" spans="1:11" x14ac:dyDescent="0.2">
      <c r="A64" t="s">
        <v>63</v>
      </c>
      <c r="B64" t="s">
        <v>31</v>
      </c>
      <c r="C64" s="4">
        <v>45779</v>
      </c>
      <c r="D64" s="5" t="s">
        <v>7</v>
      </c>
      <c r="E64" s="6">
        <v>99.12</v>
      </c>
      <c r="F64" s="6">
        <v>0.79259064899999998</v>
      </c>
      <c r="G64" s="6">
        <v>1.5</v>
      </c>
      <c r="H64" s="6">
        <f t="shared" si="1"/>
        <v>-80.061585128879997</v>
      </c>
      <c r="I64" t="s">
        <v>53</v>
      </c>
      <c r="K64" s="9"/>
    </row>
    <row r="65" spans="1:11" x14ac:dyDescent="0.2">
      <c r="A65" t="s">
        <v>63</v>
      </c>
      <c r="B65" t="s">
        <v>31</v>
      </c>
      <c r="C65" s="4">
        <v>45779</v>
      </c>
      <c r="D65" s="5" t="s">
        <v>7</v>
      </c>
      <c r="E65" s="6">
        <v>99.19</v>
      </c>
      <c r="F65" s="6">
        <v>0.58022301499999995</v>
      </c>
      <c r="G65" s="6">
        <v>1.5</v>
      </c>
      <c r="H65" s="6">
        <f t="shared" si="1"/>
        <v>-59.052320857849992</v>
      </c>
      <c r="I65" t="s">
        <v>53</v>
      </c>
      <c r="K65" s="9"/>
    </row>
    <row r="66" spans="1:11" x14ac:dyDescent="0.2">
      <c r="A66" t="s">
        <v>63</v>
      </c>
      <c r="B66" t="s">
        <v>28</v>
      </c>
      <c r="C66" s="4">
        <v>45779</v>
      </c>
      <c r="D66" s="5" t="s">
        <v>22</v>
      </c>
      <c r="E66" s="6">
        <v>395.6</v>
      </c>
      <c r="F66" s="6">
        <v>0.153067645</v>
      </c>
      <c r="G66" s="6">
        <v>1.5</v>
      </c>
      <c r="H66" s="6">
        <f t="shared" ref="H66" si="2">IF(D66="BUY",-(E66*F66+G66),E66*F66-G66)</f>
        <v>59.053560362000006</v>
      </c>
      <c r="I66" t="s">
        <v>53</v>
      </c>
      <c r="K66" s="9"/>
    </row>
    <row r="67" spans="1:11" x14ac:dyDescent="0.2">
      <c r="A67" t="s">
        <v>63</v>
      </c>
      <c r="B67" t="s">
        <v>32</v>
      </c>
      <c r="C67" s="4">
        <v>45790</v>
      </c>
      <c r="D67" s="5" t="s">
        <v>7</v>
      </c>
      <c r="E67" s="6">
        <v>65.05</v>
      </c>
      <c r="F67" s="6">
        <v>1</v>
      </c>
      <c r="G67" s="6">
        <v>1.5</v>
      </c>
      <c r="H67" s="6">
        <f>IF(D67="Buy", -(E67*F67+G67), E67*F67-G67)</f>
        <v>-66.55</v>
      </c>
      <c r="I67" t="s">
        <v>53</v>
      </c>
      <c r="K67" s="9"/>
    </row>
    <row r="68" spans="1:11" x14ac:dyDescent="0.2">
      <c r="A68" t="s">
        <v>63</v>
      </c>
      <c r="B68" t="s">
        <v>20</v>
      </c>
      <c r="C68" s="4">
        <v>45804</v>
      </c>
      <c r="D68" s="5" t="s">
        <v>7</v>
      </c>
      <c r="E68" s="6">
        <v>655.98</v>
      </c>
      <c r="F68" s="6">
        <v>0.18293240599999999</v>
      </c>
      <c r="G68" s="6">
        <v>1.5</v>
      </c>
      <c r="H68" s="6">
        <f t="shared" ref="H68:H78" si="3">IF(D68="BUY",-(E68*F68+G68),E68*F68-G68)</f>
        <v>-121.49999968787999</v>
      </c>
      <c r="I68" t="s">
        <v>53</v>
      </c>
      <c r="K68" s="9"/>
    </row>
    <row r="69" spans="1:11" x14ac:dyDescent="0.2">
      <c r="A69" t="s">
        <v>63</v>
      </c>
      <c r="B69" t="s">
        <v>33</v>
      </c>
      <c r="C69" s="4">
        <v>45805</v>
      </c>
      <c r="D69" s="5" t="s">
        <v>7</v>
      </c>
      <c r="E69" s="6">
        <v>46.86</v>
      </c>
      <c r="F69" s="6">
        <v>5.1828851890000003</v>
      </c>
      <c r="G69" s="6">
        <v>1.5</v>
      </c>
      <c r="H69" s="6">
        <f t="shared" si="3"/>
        <v>-244.36999995654</v>
      </c>
      <c r="I69" t="s">
        <v>53</v>
      </c>
      <c r="K69" s="9"/>
    </row>
    <row r="70" spans="1:11" x14ac:dyDescent="0.2">
      <c r="A70" t="s">
        <v>63</v>
      </c>
      <c r="B70" t="s">
        <v>11</v>
      </c>
      <c r="C70" s="4">
        <v>45807</v>
      </c>
      <c r="D70" s="5" t="s">
        <v>7</v>
      </c>
      <c r="E70" s="6">
        <v>83.79</v>
      </c>
      <c r="F70" s="6">
        <v>2.2796714999999999E-2</v>
      </c>
      <c r="G70" s="6">
        <v>0</v>
      </c>
      <c r="H70" s="6">
        <f t="shared" si="3"/>
        <v>-1.9101367498499999</v>
      </c>
      <c r="I70" t="s">
        <v>54</v>
      </c>
      <c r="K70" s="9"/>
    </row>
    <row r="71" spans="1:11" x14ac:dyDescent="0.2">
      <c r="A71" t="s">
        <v>63</v>
      </c>
      <c r="B71" t="s">
        <v>33</v>
      </c>
      <c r="C71" s="4">
        <v>45813</v>
      </c>
      <c r="D71" s="5" t="s">
        <v>7</v>
      </c>
      <c r="E71" s="6">
        <v>47.32</v>
      </c>
      <c r="F71" s="6">
        <v>1.5173929580000001</v>
      </c>
      <c r="G71" s="6">
        <v>1.5</v>
      </c>
      <c r="H71" s="6">
        <f t="shared" si="3"/>
        <v>-73.303034772559997</v>
      </c>
      <c r="I71" t="s">
        <v>53</v>
      </c>
      <c r="K71" s="9"/>
    </row>
    <row r="72" spans="1:11" x14ac:dyDescent="0.2">
      <c r="A72" t="s">
        <v>63</v>
      </c>
      <c r="B72" t="s">
        <v>26</v>
      </c>
      <c r="C72" s="4">
        <v>45813</v>
      </c>
      <c r="D72" s="5" t="s">
        <v>22</v>
      </c>
      <c r="E72" s="6">
        <v>74.5</v>
      </c>
      <c r="F72" s="6">
        <v>1</v>
      </c>
      <c r="G72" s="6">
        <v>1.5</v>
      </c>
      <c r="H72" s="6">
        <f t="shared" si="3"/>
        <v>73</v>
      </c>
      <c r="I72" t="s">
        <v>53</v>
      </c>
      <c r="K72" s="9"/>
    </row>
    <row r="73" spans="1:11" x14ac:dyDescent="0.2">
      <c r="A73" t="s">
        <v>63</v>
      </c>
      <c r="B73" t="s">
        <v>9</v>
      </c>
      <c r="C73" s="4">
        <v>45823</v>
      </c>
      <c r="D73" s="5" t="s">
        <v>22</v>
      </c>
      <c r="E73" s="6">
        <v>145.05000000000001</v>
      </c>
      <c r="F73" s="6">
        <v>1.3788158720000001</v>
      </c>
      <c r="G73" s="6">
        <v>1.5</v>
      </c>
      <c r="H73" s="6">
        <f t="shared" si="3"/>
        <v>198.49724223360002</v>
      </c>
      <c r="I73" t="s">
        <v>53</v>
      </c>
      <c r="K73" s="9"/>
    </row>
    <row r="74" spans="1:11" x14ac:dyDescent="0.2">
      <c r="A74" t="s">
        <v>63</v>
      </c>
      <c r="B74" t="s">
        <v>13</v>
      </c>
      <c r="C74" s="4">
        <v>45824</v>
      </c>
      <c r="D74" s="5" t="s">
        <v>22</v>
      </c>
      <c r="E74" s="6">
        <v>215.42</v>
      </c>
      <c r="F74" s="6">
        <v>1</v>
      </c>
      <c r="G74" s="6">
        <v>1.5</v>
      </c>
      <c r="H74" s="6">
        <f t="shared" si="3"/>
        <v>213.92</v>
      </c>
      <c r="I74" t="s">
        <v>53</v>
      </c>
      <c r="K74" s="9"/>
    </row>
    <row r="75" spans="1:11" x14ac:dyDescent="0.2">
      <c r="A75" t="s">
        <v>63</v>
      </c>
      <c r="B75" t="s">
        <v>11</v>
      </c>
      <c r="C75" s="4">
        <v>45824</v>
      </c>
      <c r="D75" s="5" t="s">
        <v>22</v>
      </c>
      <c r="E75" s="6">
        <v>94.14</v>
      </c>
      <c r="F75" s="8">
        <v>3.9227956160000002</v>
      </c>
      <c r="G75" s="6">
        <v>1.5</v>
      </c>
      <c r="H75" s="6">
        <f t="shared" si="3"/>
        <v>367.79197929024002</v>
      </c>
      <c r="I75" t="s">
        <v>53</v>
      </c>
      <c r="K75" s="9"/>
    </row>
    <row r="76" spans="1:11" x14ac:dyDescent="0.2">
      <c r="A76" t="s">
        <v>63</v>
      </c>
      <c r="B76" t="s">
        <v>24</v>
      </c>
      <c r="C76" s="4">
        <v>45824</v>
      </c>
      <c r="D76" s="5" t="s">
        <v>22</v>
      </c>
      <c r="E76" s="6">
        <v>252.11</v>
      </c>
      <c r="F76" s="6">
        <v>0.45</v>
      </c>
      <c r="G76" s="6">
        <v>1.5</v>
      </c>
      <c r="H76" s="6">
        <f t="shared" si="3"/>
        <v>111.94950000000001</v>
      </c>
      <c r="I76" t="s">
        <v>53</v>
      </c>
      <c r="K76" s="9"/>
    </row>
    <row r="77" spans="1:11" x14ac:dyDescent="0.2">
      <c r="A77" t="s">
        <v>63</v>
      </c>
      <c r="B77" t="s">
        <v>16</v>
      </c>
      <c r="C77" s="4">
        <v>45824</v>
      </c>
      <c r="D77" s="5" t="s">
        <v>22</v>
      </c>
      <c r="E77" s="6">
        <v>297.25</v>
      </c>
      <c r="F77" s="6">
        <v>6.6897237999999998E-2</v>
      </c>
      <c r="G77" s="6">
        <v>1.5</v>
      </c>
      <c r="H77" s="6">
        <f t="shared" si="3"/>
        <v>18.3852039955</v>
      </c>
      <c r="I77" t="s">
        <v>53</v>
      </c>
      <c r="K77" s="9"/>
    </row>
    <row r="78" spans="1:11" x14ac:dyDescent="0.2">
      <c r="A78" t="s">
        <v>63</v>
      </c>
      <c r="B78" t="s">
        <v>20</v>
      </c>
      <c r="C78" s="4">
        <v>45826</v>
      </c>
      <c r="D78" s="5" t="s">
        <v>22</v>
      </c>
      <c r="E78" s="6">
        <v>709.77</v>
      </c>
      <c r="F78" s="6">
        <v>0.28389478200000001</v>
      </c>
      <c r="G78" s="6">
        <v>1.5</v>
      </c>
      <c r="H78" s="6">
        <f t="shared" si="3"/>
        <v>199.99999942014</v>
      </c>
      <c r="I78" t="s">
        <v>53</v>
      </c>
      <c r="K78" s="9"/>
    </row>
    <row r="79" spans="1:11" x14ac:dyDescent="0.2">
      <c r="A79" t="s">
        <v>63</v>
      </c>
      <c r="B79" t="s">
        <v>32</v>
      </c>
      <c r="C79" s="4">
        <v>45838</v>
      </c>
      <c r="D79" s="5" t="s">
        <v>7</v>
      </c>
      <c r="E79" s="6">
        <v>78.260000000000005</v>
      </c>
      <c r="F79" s="6">
        <v>2</v>
      </c>
      <c r="G79" s="6">
        <v>1.5</v>
      </c>
      <c r="H79" s="6">
        <f>IF(D79="Buy", -(E79*F79+G79), E79*F79-G79)</f>
        <v>-158.02000000000001</v>
      </c>
      <c r="I79" t="s">
        <v>53</v>
      </c>
      <c r="K79" s="9"/>
    </row>
    <row r="80" spans="1:11" x14ac:dyDescent="0.2">
      <c r="A80" t="s">
        <v>63</v>
      </c>
      <c r="B80" t="s">
        <v>34</v>
      </c>
      <c r="C80" s="4">
        <v>45840</v>
      </c>
      <c r="D80" s="5" t="s">
        <v>7</v>
      </c>
      <c r="E80" s="6">
        <v>400</v>
      </c>
      <c r="F80" s="6">
        <v>0.35</v>
      </c>
      <c r="G80" s="6">
        <v>1.5</v>
      </c>
      <c r="H80" s="6">
        <f>IF(D80="BUY",-(E80*F80+G80),E80*F80-G80)</f>
        <v>-141.5</v>
      </c>
      <c r="I80" t="s">
        <v>53</v>
      </c>
      <c r="K80" s="9"/>
    </row>
    <row r="81" spans="1:11" x14ac:dyDescent="0.2">
      <c r="A81" t="s">
        <v>63</v>
      </c>
      <c r="B81" t="s">
        <v>35</v>
      </c>
      <c r="C81" s="4">
        <v>45880</v>
      </c>
      <c r="D81" s="5" t="s">
        <v>7</v>
      </c>
      <c r="E81" s="6">
        <v>42.59</v>
      </c>
      <c r="F81" s="6">
        <v>10</v>
      </c>
      <c r="G81" s="6">
        <v>1.5</v>
      </c>
      <c r="H81" s="6">
        <f>IF(D81="BUY",-(E81*F81+G81),E81*F81-G81)</f>
        <v>-427.40000000000003</v>
      </c>
      <c r="I81" t="s">
        <v>53</v>
      </c>
      <c r="K81" s="9"/>
    </row>
    <row r="82" spans="1:11" x14ac:dyDescent="0.2">
      <c r="A82" t="s">
        <v>63</v>
      </c>
      <c r="B82" t="s">
        <v>34</v>
      </c>
      <c r="C82" s="4">
        <v>45881</v>
      </c>
      <c r="D82" s="5" t="s">
        <v>7</v>
      </c>
      <c r="E82" s="6">
        <v>342.9</v>
      </c>
      <c r="F82" s="6">
        <v>0.35</v>
      </c>
      <c r="G82" s="6">
        <v>1.5</v>
      </c>
      <c r="H82" s="6">
        <f>IF(D82="BUY",-(E82*F82+G82),E82*F82-G82)</f>
        <v>-121.51499999999999</v>
      </c>
      <c r="I82" t="s">
        <v>53</v>
      </c>
      <c r="K82" s="9"/>
    </row>
    <row r="83" spans="1:11" x14ac:dyDescent="0.2">
      <c r="A83" t="s">
        <v>63</v>
      </c>
      <c r="B83" t="s">
        <v>34</v>
      </c>
      <c r="C83" s="4">
        <v>45881</v>
      </c>
      <c r="D83" s="5" t="s">
        <v>7</v>
      </c>
      <c r="E83" s="6">
        <v>323.04000000000002</v>
      </c>
      <c r="F83" s="6">
        <v>0.31</v>
      </c>
      <c r="G83" s="6">
        <v>1.5</v>
      </c>
      <c r="H83" s="6">
        <f>IF(D83="BUY",-(E83*F83+G83),E83*F83-G83)</f>
        <v>-101.64240000000001</v>
      </c>
      <c r="I83" t="s">
        <v>53</v>
      </c>
      <c r="K83" s="9"/>
    </row>
    <row r="84" spans="1:11" x14ac:dyDescent="0.2">
      <c r="A84" t="s">
        <v>63</v>
      </c>
      <c r="B84" t="s">
        <v>32</v>
      </c>
      <c r="C84" s="4">
        <v>45902</v>
      </c>
      <c r="D84" s="5" t="s">
        <v>7</v>
      </c>
      <c r="E84" s="6">
        <v>64.010000000000005</v>
      </c>
      <c r="F84" s="6">
        <v>3</v>
      </c>
      <c r="G84" s="6">
        <v>1.5</v>
      </c>
      <c r="H84" s="6">
        <f>IF(D84="Buy", -(E84*F84+G84), E84*F84-G84)</f>
        <v>-193.53000000000003</v>
      </c>
      <c r="I84" t="s">
        <v>53</v>
      </c>
      <c r="K84" s="9"/>
    </row>
    <row r="85" spans="1:11" x14ac:dyDescent="0.2">
      <c r="A85" t="s">
        <v>63</v>
      </c>
      <c r="B85" t="s">
        <v>34</v>
      </c>
      <c r="C85" s="4">
        <v>45902</v>
      </c>
      <c r="D85" s="5" t="s">
        <v>7</v>
      </c>
      <c r="E85" s="6">
        <v>290.63</v>
      </c>
      <c r="F85" s="6">
        <v>0.4</v>
      </c>
      <c r="G85" s="6">
        <v>1.5</v>
      </c>
      <c r="H85" s="6">
        <f t="shared" ref="H85:H92" si="4">IF(D85="BUY",-(E85*F85+G85),E85*F85-G85)</f>
        <v>-117.75200000000001</v>
      </c>
      <c r="I85" t="s">
        <v>53</v>
      </c>
      <c r="K85" s="9"/>
    </row>
    <row r="86" spans="1:11" x14ac:dyDescent="0.2">
      <c r="A86" t="s">
        <v>63</v>
      </c>
      <c r="B86" t="s">
        <v>35</v>
      </c>
      <c r="C86" s="4">
        <v>45922</v>
      </c>
      <c r="D86" s="5" t="s">
        <v>7</v>
      </c>
      <c r="E86" s="6">
        <v>45.51</v>
      </c>
      <c r="F86" s="6">
        <v>4.8503625570000004</v>
      </c>
      <c r="G86" s="6">
        <v>1.5</v>
      </c>
      <c r="H86" s="6">
        <f t="shared" si="4"/>
        <v>-222.23999996907</v>
      </c>
      <c r="I86" t="s">
        <v>53</v>
      </c>
      <c r="K86" s="9"/>
    </row>
    <row r="87" spans="1:11" x14ac:dyDescent="0.2">
      <c r="A87" t="s">
        <v>63</v>
      </c>
      <c r="B87" t="s">
        <v>36</v>
      </c>
      <c r="C87" s="4">
        <v>45937</v>
      </c>
      <c r="D87" s="5" t="s">
        <v>7</v>
      </c>
      <c r="E87" s="6">
        <v>105.12</v>
      </c>
      <c r="F87" s="6">
        <v>0.72528016100000003</v>
      </c>
      <c r="G87" s="6">
        <v>1.5</v>
      </c>
      <c r="H87" s="6">
        <f t="shared" si="4"/>
        <v>-77.741450524320001</v>
      </c>
      <c r="I87" t="s">
        <v>53</v>
      </c>
      <c r="K87" s="9"/>
    </row>
    <row r="88" spans="1:11" x14ac:dyDescent="0.2">
      <c r="A88" t="s">
        <v>63</v>
      </c>
      <c r="B88" t="s">
        <v>25</v>
      </c>
      <c r="C88" s="4">
        <v>45937</v>
      </c>
      <c r="D88" s="5" t="s">
        <v>22</v>
      </c>
      <c r="E88" s="6">
        <v>346.06</v>
      </c>
      <c r="F88" s="6">
        <v>0.22704765800000001</v>
      </c>
      <c r="G88" s="6">
        <v>1.5</v>
      </c>
      <c r="H88" s="6">
        <f t="shared" si="4"/>
        <v>77.072112527480002</v>
      </c>
      <c r="I88" t="s">
        <v>53</v>
      </c>
      <c r="K88" s="9"/>
    </row>
    <row r="89" spans="1:11" x14ac:dyDescent="0.2">
      <c r="A89" t="s">
        <v>63</v>
      </c>
      <c r="B89" t="s">
        <v>37</v>
      </c>
      <c r="C89" s="4">
        <v>45940</v>
      </c>
      <c r="D89" s="5" t="s">
        <v>7</v>
      </c>
      <c r="E89" s="6">
        <v>6.78</v>
      </c>
      <c r="F89" s="6">
        <v>14.749262536</v>
      </c>
      <c r="G89" s="6">
        <v>1.5</v>
      </c>
      <c r="H89" s="6">
        <f t="shared" si="4"/>
        <v>-101.49999999408</v>
      </c>
      <c r="I89" t="s">
        <v>53</v>
      </c>
      <c r="K89" s="9"/>
    </row>
    <row r="90" spans="1:11" x14ac:dyDescent="0.2">
      <c r="A90" t="s">
        <v>63</v>
      </c>
      <c r="B90" t="s">
        <v>38</v>
      </c>
      <c r="C90" s="4">
        <v>45940</v>
      </c>
      <c r="D90" s="5" t="s">
        <v>7</v>
      </c>
      <c r="E90" s="6">
        <v>3.73</v>
      </c>
      <c r="F90" s="6">
        <v>15</v>
      </c>
      <c r="G90" s="6">
        <v>1.5</v>
      </c>
      <c r="H90" s="6">
        <f t="shared" si="4"/>
        <v>-57.45</v>
      </c>
      <c r="I90" t="s">
        <v>53</v>
      </c>
      <c r="K90" s="9"/>
    </row>
    <row r="91" spans="1:11" x14ac:dyDescent="0.2">
      <c r="A91" t="s">
        <v>63</v>
      </c>
      <c r="B91" t="s">
        <v>39</v>
      </c>
      <c r="C91" s="4">
        <v>45940</v>
      </c>
      <c r="D91" s="5" t="s">
        <v>7</v>
      </c>
      <c r="E91" s="6">
        <v>5.98</v>
      </c>
      <c r="F91" s="6">
        <v>16.722408026</v>
      </c>
      <c r="G91" s="6">
        <v>1.5</v>
      </c>
      <c r="H91" s="6">
        <f t="shared" si="4"/>
        <v>-101.49999999548001</v>
      </c>
      <c r="I91" t="s">
        <v>53</v>
      </c>
      <c r="K91" s="9"/>
    </row>
    <row r="92" spans="1:11" x14ac:dyDescent="0.2">
      <c r="A92" t="s">
        <v>63</v>
      </c>
      <c r="B92" t="s">
        <v>40</v>
      </c>
      <c r="C92" s="4">
        <v>45940</v>
      </c>
      <c r="D92" s="5" t="s">
        <v>7</v>
      </c>
      <c r="E92" s="6">
        <v>1.66</v>
      </c>
      <c r="F92" s="6">
        <v>42.168674697999997</v>
      </c>
      <c r="G92" s="6">
        <v>1.5</v>
      </c>
      <c r="H92" s="6">
        <f t="shared" si="4"/>
        <v>-71.499999998679996</v>
      </c>
      <c r="I92" t="s">
        <v>53</v>
      </c>
      <c r="K92" s="9"/>
    </row>
    <row r="93" spans="1:11" x14ac:dyDescent="0.2">
      <c r="A93" t="s">
        <v>63</v>
      </c>
      <c r="B93" t="s">
        <v>32</v>
      </c>
      <c r="C93" s="4">
        <v>45980</v>
      </c>
      <c r="D93" s="5" t="s">
        <v>7</v>
      </c>
      <c r="E93" s="6">
        <v>79.09</v>
      </c>
      <c r="F93" s="6">
        <v>1.5</v>
      </c>
      <c r="G93" s="6">
        <v>1.5</v>
      </c>
      <c r="H93" s="6">
        <f>IF(D93="Buy", -(E93*F93+G93), E93*F93-G93)</f>
        <v>-120.13500000000001</v>
      </c>
      <c r="I93" t="s">
        <v>53</v>
      </c>
      <c r="K93" s="9"/>
    </row>
    <row r="94" spans="1:11" x14ac:dyDescent="0.2">
      <c r="A94" t="s">
        <v>63</v>
      </c>
      <c r="B94" t="s">
        <v>39</v>
      </c>
      <c r="C94" s="4">
        <v>45980</v>
      </c>
      <c r="D94" s="5" t="s">
        <v>7</v>
      </c>
      <c r="E94" s="6">
        <v>6.12</v>
      </c>
      <c r="F94" s="6">
        <v>10</v>
      </c>
      <c r="G94" s="6">
        <v>1.5</v>
      </c>
      <c r="H94" s="6">
        <f t="shared" ref="H94:H108" si="5">IF(D94="BUY",-(E94*F94+G94),E94*F94-G94)</f>
        <v>-62.7</v>
      </c>
      <c r="I94" t="s">
        <v>53</v>
      </c>
      <c r="K94" s="9"/>
    </row>
    <row r="95" spans="1:11" x14ac:dyDescent="0.2">
      <c r="A95" t="s">
        <v>63</v>
      </c>
      <c r="B95" t="s">
        <v>39</v>
      </c>
      <c r="C95" s="4">
        <v>46008</v>
      </c>
      <c r="D95" s="5" t="s">
        <v>7</v>
      </c>
      <c r="E95" s="6">
        <v>8.5399999999999991</v>
      </c>
      <c r="F95" s="6">
        <v>0.50164088100000004</v>
      </c>
      <c r="G95" s="6">
        <v>0</v>
      </c>
      <c r="H95" s="6">
        <f t="shared" si="5"/>
        <v>-4.2840131237400003</v>
      </c>
      <c r="I95" t="s">
        <v>54</v>
      </c>
      <c r="K95" s="9"/>
    </row>
    <row r="96" spans="1:11" x14ac:dyDescent="0.2">
      <c r="A96" t="s">
        <v>63</v>
      </c>
      <c r="B96" t="s">
        <v>34</v>
      </c>
      <c r="C96" s="4">
        <v>46031</v>
      </c>
      <c r="D96" s="5" t="s">
        <v>7</v>
      </c>
      <c r="E96" s="6">
        <v>175.79</v>
      </c>
      <c r="F96" s="6">
        <v>0.5</v>
      </c>
      <c r="G96" s="6">
        <v>1.5</v>
      </c>
      <c r="H96" s="6">
        <f t="shared" si="5"/>
        <v>-89.394999999999996</v>
      </c>
      <c r="I96" t="s">
        <v>53</v>
      </c>
      <c r="K96" s="9"/>
    </row>
    <row r="97" spans="1:11" x14ac:dyDescent="0.2">
      <c r="A97" t="s">
        <v>63</v>
      </c>
      <c r="B97" t="s">
        <v>34</v>
      </c>
      <c r="C97" s="4">
        <v>46037</v>
      </c>
      <c r="D97" s="5" t="s">
        <v>7</v>
      </c>
      <c r="E97" s="6">
        <v>158</v>
      </c>
      <c r="F97" s="6">
        <v>0.27146909699999999</v>
      </c>
      <c r="G97" s="6">
        <v>1.5</v>
      </c>
      <c r="H97" s="6">
        <f t="shared" si="5"/>
        <v>-44.392117325999997</v>
      </c>
      <c r="I97" t="s">
        <v>53</v>
      </c>
      <c r="K97" s="9"/>
    </row>
    <row r="98" spans="1:11" x14ac:dyDescent="0.2">
      <c r="A98" t="s">
        <v>63</v>
      </c>
      <c r="B98" t="s">
        <v>19</v>
      </c>
      <c r="C98" s="4">
        <v>46042</v>
      </c>
      <c r="D98" s="5" t="s">
        <v>7</v>
      </c>
      <c r="E98" s="6">
        <v>88.77</v>
      </c>
      <c r="F98" s="6">
        <v>0.79172674799999998</v>
      </c>
      <c r="G98" s="6">
        <v>1.5</v>
      </c>
      <c r="H98" s="6">
        <f t="shared" si="5"/>
        <v>-71.78158341996</v>
      </c>
      <c r="I98" t="s">
        <v>53</v>
      </c>
      <c r="K98" s="9"/>
    </row>
    <row r="99" spans="1:11" x14ac:dyDescent="0.2">
      <c r="A99" t="s">
        <v>63</v>
      </c>
      <c r="B99" t="s">
        <v>36</v>
      </c>
      <c r="C99" s="4">
        <v>46042</v>
      </c>
      <c r="D99" s="5" t="s">
        <v>22</v>
      </c>
      <c r="E99" s="6">
        <v>100.99</v>
      </c>
      <c r="F99" s="6">
        <v>0.72528016100000003</v>
      </c>
      <c r="G99" s="6">
        <v>1.5</v>
      </c>
      <c r="H99" s="6">
        <f t="shared" si="5"/>
        <v>71.746043459389995</v>
      </c>
      <c r="I99" t="s">
        <v>53</v>
      </c>
      <c r="K99" s="9"/>
    </row>
    <row r="100" spans="1:11" x14ac:dyDescent="0.2">
      <c r="A100" t="s">
        <v>63</v>
      </c>
      <c r="B100" t="s">
        <v>34</v>
      </c>
      <c r="C100" s="4">
        <v>46043</v>
      </c>
      <c r="D100" s="5" t="s">
        <v>7</v>
      </c>
      <c r="E100" s="6">
        <v>146.94999999999999</v>
      </c>
      <c r="F100" s="6">
        <v>0.45</v>
      </c>
      <c r="G100" s="6">
        <v>1.5</v>
      </c>
      <c r="H100" s="6">
        <f t="shared" si="5"/>
        <v>-67.627499999999998</v>
      </c>
      <c r="I100" t="s">
        <v>53</v>
      </c>
      <c r="K100" s="9"/>
    </row>
    <row r="101" spans="1:11" x14ac:dyDescent="0.2">
      <c r="A101" t="s">
        <v>63</v>
      </c>
      <c r="B101" t="s">
        <v>34</v>
      </c>
      <c r="C101" s="4">
        <v>46045</v>
      </c>
      <c r="D101" s="5" t="s">
        <v>7</v>
      </c>
      <c r="E101" s="6">
        <v>153.93</v>
      </c>
      <c r="F101" s="6">
        <v>0.30585330900000002</v>
      </c>
      <c r="G101" s="6">
        <v>1.5</v>
      </c>
      <c r="H101" s="6">
        <f t="shared" si="5"/>
        <v>-48.579999854370001</v>
      </c>
      <c r="I101" t="s">
        <v>53</v>
      </c>
      <c r="K101" s="9"/>
    </row>
    <row r="102" spans="1:11" x14ac:dyDescent="0.2">
      <c r="A102" t="s">
        <v>63</v>
      </c>
      <c r="B102" t="s">
        <v>34</v>
      </c>
      <c r="C102" s="4">
        <v>46045</v>
      </c>
      <c r="D102" s="5" t="s">
        <v>7</v>
      </c>
      <c r="E102" s="6">
        <v>156.82</v>
      </c>
      <c r="F102" s="6">
        <v>1</v>
      </c>
      <c r="G102" s="6">
        <v>1.5</v>
      </c>
      <c r="H102" s="6">
        <f t="shared" si="5"/>
        <v>-158.32</v>
      </c>
      <c r="I102" t="s">
        <v>53</v>
      </c>
      <c r="K102" s="9"/>
    </row>
    <row r="103" spans="1:11" x14ac:dyDescent="0.2">
      <c r="A103" t="s">
        <v>63</v>
      </c>
      <c r="B103" t="s">
        <v>34</v>
      </c>
      <c r="C103" s="4">
        <v>46052</v>
      </c>
      <c r="D103" s="5" t="s">
        <v>7</v>
      </c>
      <c r="E103" s="6">
        <v>135.11000000000001</v>
      </c>
      <c r="F103" s="6">
        <v>0.55000000000000004</v>
      </c>
      <c r="G103" s="6">
        <v>1.5</v>
      </c>
      <c r="H103" s="6">
        <f t="shared" si="5"/>
        <v>-75.810500000000019</v>
      </c>
      <c r="I103" t="s">
        <v>53</v>
      </c>
      <c r="K103" s="9"/>
    </row>
    <row r="104" spans="1:11" x14ac:dyDescent="0.2">
      <c r="A104" t="s">
        <v>63</v>
      </c>
      <c r="B104" t="s">
        <v>34</v>
      </c>
      <c r="C104" s="4">
        <v>46059</v>
      </c>
      <c r="D104" s="5" t="s">
        <v>7</v>
      </c>
      <c r="E104" s="6">
        <v>118</v>
      </c>
      <c r="F104" s="6">
        <v>0.5</v>
      </c>
      <c r="G104" s="6">
        <v>1.5</v>
      </c>
      <c r="H104" s="6">
        <f t="shared" si="5"/>
        <v>-60.5</v>
      </c>
      <c r="I104" t="s">
        <v>53</v>
      </c>
      <c r="K104" s="9"/>
    </row>
    <row r="105" spans="1:11" x14ac:dyDescent="0.2">
      <c r="A105" t="s">
        <v>63</v>
      </c>
      <c r="B105" t="s">
        <v>34</v>
      </c>
      <c r="C105" s="4">
        <v>46064</v>
      </c>
      <c r="D105" s="5" t="s">
        <v>7</v>
      </c>
      <c r="E105" s="6">
        <v>112.37</v>
      </c>
      <c r="F105" s="6">
        <v>0.56999999999999995</v>
      </c>
      <c r="G105" s="6">
        <v>1.5</v>
      </c>
      <c r="H105" s="6">
        <f t="shared" si="5"/>
        <v>-65.550899999999999</v>
      </c>
      <c r="I105" t="s">
        <v>53</v>
      </c>
      <c r="K105" s="9"/>
    </row>
    <row r="106" spans="1:11" x14ac:dyDescent="0.2">
      <c r="A106" t="s">
        <v>63</v>
      </c>
      <c r="B106" t="s">
        <v>24</v>
      </c>
      <c r="C106" s="4">
        <v>46064</v>
      </c>
      <c r="D106" s="5" t="s">
        <v>22</v>
      </c>
      <c r="E106" s="6">
        <v>151.02000000000001</v>
      </c>
      <c r="F106" s="6">
        <v>0.35305927799999998</v>
      </c>
      <c r="G106" s="6">
        <v>1.5</v>
      </c>
      <c r="H106" s="6">
        <f t="shared" si="5"/>
        <v>51.819012163559997</v>
      </c>
      <c r="I106" t="s">
        <v>53</v>
      </c>
      <c r="K106" s="9"/>
    </row>
    <row r="107" spans="1:11" x14ac:dyDescent="0.2">
      <c r="A107" t="s">
        <v>63</v>
      </c>
      <c r="B107" t="s">
        <v>41</v>
      </c>
      <c r="C107" s="4">
        <v>46099</v>
      </c>
      <c r="D107" s="5" t="s">
        <v>7</v>
      </c>
      <c r="E107" s="6">
        <v>43.12</v>
      </c>
      <c r="F107" s="6">
        <v>3</v>
      </c>
      <c r="G107" s="6">
        <v>1.5</v>
      </c>
      <c r="H107" s="6">
        <f t="shared" si="5"/>
        <v>-130.85999999999999</v>
      </c>
      <c r="I107" t="s">
        <v>53</v>
      </c>
      <c r="K107" s="9"/>
    </row>
    <row r="108" spans="1:11" x14ac:dyDescent="0.2">
      <c r="A108" t="s">
        <v>63</v>
      </c>
      <c r="B108" t="s">
        <v>35</v>
      </c>
      <c r="C108" s="4">
        <v>46099</v>
      </c>
      <c r="D108" s="5" t="s">
        <v>22</v>
      </c>
      <c r="E108" s="6">
        <v>50.17</v>
      </c>
      <c r="F108" s="6">
        <v>3.850362557</v>
      </c>
      <c r="G108" s="6">
        <v>1.5</v>
      </c>
      <c r="H108" s="6">
        <f t="shared" si="5"/>
        <v>191.67268948469001</v>
      </c>
      <c r="I108" t="s">
        <v>53</v>
      </c>
      <c r="K108" s="9"/>
    </row>
    <row r="109" spans="1:11" x14ac:dyDescent="0.2">
      <c r="A109" t="s">
        <v>63</v>
      </c>
      <c r="B109" t="s">
        <v>32</v>
      </c>
      <c r="C109" s="4">
        <v>46100</v>
      </c>
      <c r="D109" s="5" t="s">
        <v>22</v>
      </c>
      <c r="E109" s="6">
        <v>86.99</v>
      </c>
      <c r="F109" s="6">
        <v>2.2999999999999998</v>
      </c>
      <c r="G109" s="6">
        <v>1.5</v>
      </c>
      <c r="H109" s="6">
        <f>IF(D109="Buy", -(E109*F109+G109), E109*F109-G109)</f>
        <v>198.57699999999997</v>
      </c>
      <c r="I109" t="s">
        <v>53</v>
      </c>
      <c r="K109" s="9"/>
    </row>
    <row r="110" spans="1:11" x14ac:dyDescent="0.2">
      <c r="A110" t="s">
        <v>63</v>
      </c>
      <c r="B110" t="s">
        <v>39</v>
      </c>
      <c r="C110" s="4">
        <v>46100</v>
      </c>
      <c r="D110" s="5" t="s">
        <v>7</v>
      </c>
      <c r="E110" s="6">
        <v>9.01</v>
      </c>
      <c r="F110" s="6">
        <v>15</v>
      </c>
      <c r="G110" s="6">
        <v>1.5</v>
      </c>
      <c r="H110" s="6">
        <f t="shared" ref="H110:H130" si="6">IF(D110="BUY",-(E110*F110+G110),E110*F110-G110)</f>
        <v>-136.65</v>
      </c>
      <c r="I110" t="s">
        <v>53</v>
      </c>
      <c r="K110" s="9"/>
    </row>
    <row r="111" spans="1:11" x14ac:dyDescent="0.2">
      <c r="A111" t="s">
        <v>63</v>
      </c>
      <c r="B111" t="s">
        <v>35</v>
      </c>
      <c r="C111" s="4">
        <v>46100</v>
      </c>
      <c r="D111" s="5" t="s">
        <v>22</v>
      </c>
      <c r="E111" s="6">
        <v>49.39</v>
      </c>
      <c r="F111" s="6">
        <v>11</v>
      </c>
      <c r="G111" s="6">
        <v>1.5</v>
      </c>
      <c r="H111" s="6">
        <f t="shared" si="6"/>
        <v>541.79</v>
      </c>
      <c r="I111" t="s">
        <v>53</v>
      </c>
      <c r="K111" s="9"/>
    </row>
    <row r="112" spans="1:11" x14ac:dyDescent="0.2">
      <c r="A112" t="s">
        <v>63</v>
      </c>
      <c r="B112" t="s">
        <v>41</v>
      </c>
      <c r="C112" s="4">
        <v>46101</v>
      </c>
      <c r="D112" s="5" t="s">
        <v>22</v>
      </c>
      <c r="E112" s="6">
        <v>42.63</v>
      </c>
      <c r="F112" s="6">
        <v>3</v>
      </c>
      <c r="G112" s="6">
        <v>1.5</v>
      </c>
      <c r="H112" s="6">
        <f t="shared" si="6"/>
        <v>126.39000000000001</v>
      </c>
      <c r="I112" t="s">
        <v>53</v>
      </c>
      <c r="K112" s="9"/>
    </row>
    <row r="113" spans="1:13" x14ac:dyDescent="0.2">
      <c r="A113" t="s">
        <v>63</v>
      </c>
      <c r="B113" t="s">
        <v>31</v>
      </c>
      <c r="C113" s="4">
        <v>46104</v>
      </c>
      <c r="D113" s="5" t="s">
        <v>22</v>
      </c>
      <c r="E113" s="6">
        <v>203.43</v>
      </c>
      <c r="F113" s="6">
        <v>0.7</v>
      </c>
      <c r="G113" s="6">
        <v>1.5</v>
      </c>
      <c r="H113" s="6">
        <f t="shared" si="6"/>
        <v>140.90099999999998</v>
      </c>
      <c r="I113" t="s">
        <v>53</v>
      </c>
      <c r="K113" s="9"/>
    </row>
    <row r="114" spans="1:13" x14ac:dyDescent="0.2">
      <c r="A114" t="s">
        <v>63</v>
      </c>
      <c r="B114" t="s">
        <v>42</v>
      </c>
      <c r="C114" s="4">
        <v>46104</v>
      </c>
      <c r="D114" s="5" t="s">
        <v>7</v>
      </c>
      <c r="E114" s="6">
        <v>61.24</v>
      </c>
      <c r="F114" s="6">
        <v>5</v>
      </c>
      <c r="G114" s="6">
        <v>1.5</v>
      </c>
      <c r="H114" s="6">
        <f t="shared" si="6"/>
        <v>-307.7</v>
      </c>
      <c r="I114" t="s">
        <v>53</v>
      </c>
      <c r="K114" s="9"/>
    </row>
    <row r="115" spans="1:13" x14ac:dyDescent="0.2">
      <c r="A115" t="s">
        <v>63</v>
      </c>
      <c r="B115" t="s">
        <v>43</v>
      </c>
      <c r="C115" s="4">
        <v>46104</v>
      </c>
      <c r="D115" s="5" t="s">
        <v>7</v>
      </c>
      <c r="E115" s="6">
        <v>152.01</v>
      </c>
      <c r="F115" s="6">
        <v>1</v>
      </c>
      <c r="G115" s="6">
        <v>1.5</v>
      </c>
      <c r="H115" s="6">
        <f t="shared" si="6"/>
        <v>-153.51</v>
      </c>
      <c r="I115" t="s">
        <v>53</v>
      </c>
      <c r="K115" s="9"/>
    </row>
    <row r="116" spans="1:13" x14ac:dyDescent="0.2">
      <c r="A116" t="s">
        <v>63</v>
      </c>
      <c r="B116" t="s">
        <v>43</v>
      </c>
      <c r="C116" s="4">
        <v>46104</v>
      </c>
      <c r="D116" s="5" t="s">
        <v>7</v>
      </c>
      <c r="E116" s="6">
        <v>154.76</v>
      </c>
      <c r="F116" s="6">
        <v>1</v>
      </c>
      <c r="G116" s="6">
        <v>1.5</v>
      </c>
      <c r="H116" s="6">
        <f t="shared" si="6"/>
        <v>-156.26</v>
      </c>
      <c r="I116" t="s">
        <v>53</v>
      </c>
      <c r="K116" s="9"/>
    </row>
    <row r="117" spans="1:13" x14ac:dyDescent="0.2">
      <c r="A117" t="s">
        <v>63</v>
      </c>
      <c r="B117" t="s">
        <v>40</v>
      </c>
      <c r="C117" s="4">
        <v>46104</v>
      </c>
      <c r="D117" s="5" t="s">
        <v>22</v>
      </c>
      <c r="E117" s="6">
        <v>1.63</v>
      </c>
      <c r="F117" s="6">
        <v>42.168674697999997</v>
      </c>
      <c r="G117" s="6">
        <v>1.5</v>
      </c>
      <c r="H117" s="6">
        <f t="shared" si="6"/>
        <v>67.234939757739994</v>
      </c>
      <c r="I117" t="s">
        <v>53</v>
      </c>
      <c r="K117" s="9"/>
    </row>
    <row r="118" spans="1:13" x14ac:dyDescent="0.2">
      <c r="A118" t="s">
        <v>63</v>
      </c>
      <c r="B118" t="s">
        <v>29</v>
      </c>
      <c r="C118" s="4">
        <v>46104</v>
      </c>
      <c r="D118" s="5" t="s">
        <v>22</v>
      </c>
      <c r="E118" s="6">
        <v>111.71</v>
      </c>
      <c r="F118" s="6">
        <v>0.60778930600000003</v>
      </c>
      <c r="G118" s="6">
        <v>1.5</v>
      </c>
      <c r="H118" s="6">
        <f t="shared" si="6"/>
        <v>66.396143373260003</v>
      </c>
      <c r="I118" t="s">
        <v>53</v>
      </c>
      <c r="K118" s="9"/>
    </row>
    <row r="119" spans="1:13" x14ac:dyDescent="0.2">
      <c r="A119" t="s">
        <v>63</v>
      </c>
      <c r="B119" t="s">
        <v>44</v>
      </c>
      <c r="C119" s="4">
        <v>46163</v>
      </c>
      <c r="D119" s="5" t="s">
        <v>7</v>
      </c>
      <c r="E119" s="6">
        <v>106.71</v>
      </c>
      <c r="F119" s="6">
        <v>3</v>
      </c>
      <c r="G119" s="6">
        <v>1.5</v>
      </c>
      <c r="H119" s="6">
        <f t="shared" si="6"/>
        <v>-321.63</v>
      </c>
      <c r="I119" t="s">
        <v>53</v>
      </c>
      <c r="K119" s="9"/>
    </row>
    <row r="120" spans="1:13" x14ac:dyDescent="0.2">
      <c r="A120" t="s">
        <v>63</v>
      </c>
      <c r="B120" t="s">
        <v>45</v>
      </c>
      <c r="C120" s="4">
        <v>46226</v>
      </c>
      <c r="D120" s="5" t="s">
        <v>7</v>
      </c>
      <c r="E120" s="6">
        <v>26.82</v>
      </c>
      <c r="F120" s="6">
        <v>15</v>
      </c>
      <c r="G120" s="6">
        <v>1.5</v>
      </c>
      <c r="H120" s="6">
        <f t="shared" si="6"/>
        <v>-403.8</v>
      </c>
      <c r="I120" t="s">
        <v>53</v>
      </c>
      <c r="K120" s="9"/>
    </row>
    <row r="121" spans="1:13" x14ac:dyDescent="0.2">
      <c r="A121" t="s">
        <v>63</v>
      </c>
      <c r="B121" t="s">
        <v>37</v>
      </c>
      <c r="C121" s="7">
        <v>46266</v>
      </c>
      <c r="D121" s="5" t="s">
        <v>22</v>
      </c>
      <c r="E121" s="6">
        <v>10.11</v>
      </c>
      <c r="F121" s="6">
        <v>14.749262536</v>
      </c>
      <c r="G121" s="6">
        <v>1.5</v>
      </c>
      <c r="H121" s="6">
        <f t="shared" si="6"/>
        <v>147.61504423896</v>
      </c>
      <c r="I121" t="s">
        <v>53</v>
      </c>
    </row>
    <row r="122" spans="1:13" x14ac:dyDescent="0.2">
      <c r="A122" t="s">
        <v>63</v>
      </c>
      <c r="B122" t="s">
        <v>56</v>
      </c>
      <c r="C122" s="7">
        <v>46266</v>
      </c>
      <c r="D122" s="5" t="s">
        <v>7</v>
      </c>
      <c r="E122" s="6">
        <v>49</v>
      </c>
      <c r="F122" s="6">
        <v>6</v>
      </c>
      <c r="G122" s="6">
        <v>1.5</v>
      </c>
      <c r="H122" s="6">
        <f t="shared" si="6"/>
        <v>-295.5</v>
      </c>
      <c r="I122" t="s">
        <v>53</v>
      </c>
    </row>
    <row r="123" spans="1:13" x14ac:dyDescent="0.2">
      <c r="A123" t="s">
        <v>63</v>
      </c>
      <c r="B123" t="s">
        <v>57</v>
      </c>
      <c r="C123" s="7">
        <v>46268</v>
      </c>
      <c r="D123" s="5" t="s">
        <v>7</v>
      </c>
      <c r="E123" s="6">
        <v>55.64</v>
      </c>
      <c r="F123" s="6">
        <v>2</v>
      </c>
      <c r="G123" s="6">
        <v>1.5</v>
      </c>
      <c r="H123" s="6">
        <f t="shared" si="6"/>
        <v>-112.78</v>
      </c>
      <c r="I123" t="s">
        <v>53</v>
      </c>
    </row>
    <row r="124" spans="1:13" x14ac:dyDescent="0.2">
      <c r="A124" t="s">
        <v>63</v>
      </c>
      <c r="B124" t="s">
        <v>58</v>
      </c>
      <c r="C124" s="7">
        <v>46268</v>
      </c>
      <c r="D124" s="5" t="s">
        <v>7</v>
      </c>
      <c r="E124" s="6">
        <v>45.35</v>
      </c>
      <c r="F124" s="6">
        <v>3</v>
      </c>
      <c r="G124" s="6">
        <v>1.5</v>
      </c>
      <c r="H124" s="6">
        <f t="shared" si="6"/>
        <v>-137.55000000000001</v>
      </c>
      <c r="I124" t="s">
        <v>53</v>
      </c>
      <c r="M124" s="13"/>
    </row>
    <row r="125" spans="1:13" x14ac:dyDescent="0.2">
      <c r="A125" t="s">
        <v>63</v>
      </c>
      <c r="B125" t="s">
        <v>43</v>
      </c>
      <c r="C125" s="7">
        <v>46281</v>
      </c>
      <c r="D125" s="5" t="s">
        <v>7</v>
      </c>
      <c r="E125" s="6">
        <v>138.13</v>
      </c>
      <c r="F125" s="6">
        <v>1</v>
      </c>
      <c r="G125" s="6">
        <v>1.5</v>
      </c>
      <c r="H125" s="6">
        <f t="shared" si="6"/>
        <v>-139.63</v>
      </c>
      <c r="I125" t="s">
        <v>53</v>
      </c>
    </row>
    <row r="126" spans="1:13" x14ac:dyDescent="0.2">
      <c r="A126" t="s">
        <v>63</v>
      </c>
      <c r="B126" t="s">
        <v>27</v>
      </c>
      <c r="C126" s="7">
        <v>46296</v>
      </c>
      <c r="D126" s="5" t="s">
        <v>7</v>
      </c>
      <c r="E126" s="6">
        <v>302.35000000000002</v>
      </c>
      <c r="F126" s="6">
        <v>0.5</v>
      </c>
      <c r="G126" s="6">
        <v>1.5</v>
      </c>
      <c r="H126" s="6">
        <f t="shared" si="6"/>
        <v>-152.67500000000001</v>
      </c>
      <c r="I126" t="s">
        <v>53</v>
      </c>
    </row>
    <row r="127" spans="1:13" x14ac:dyDescent="0.2">
      <c r="A127" t="s">
        <v>63</v>
      </c>
      <c r="B127" t="s">
        <v>59</v>
      </c>
      <c r="C127" s="7">
        <v>46302</v>
      </c>
      <c r="D127" s="5" t="s">
        <v>7</v>
      </c>
      <c r="E127" s="6">
        <v>42.9</v>
      </c>
      <c r="F127" s="6">
        <v>3</v>
      </c>
      <c r="G127" s="6">
        <v>1.5</v>
      </c>
      <c r="H127" s="6">
        <f t="shared" si="6"/>
        <v>-130.19999999999999</v>
      </c>
      <c r="I127" t="s">
        <v>53</v>
      </c>
    </row>
    <row r="128" spans="1:13" x14ac:dyDescent="0.2">
      <c r="A128" t="s">
        <v>63</v>
      </c>
      <c r="B128" t="s">
        <v>60</v>
      </c>
      <c r="C128" s="7">
        <v>46309</v>
      </c>
      <c r="D128" s="5" t="s">
        <v>7</v>
      </c>
      <c r="E128" s="6">
        <v>8.3699999999999992</v>
      </c>
      <c r="F128" s="17">
        <v>10</v>
      </c>
      <c r="G128" s="17">
        <v>1.5</v>
      </c>
      <c r="H128" s="6">
        <f t="shared" si="6"/>
        <v>-85.199999999999989</v>
      </c>
      <c r="I128" t="s">
        <v>53</v>
      </c>
    </row>
    <row r="129" spans="1:12" x14ac:dyDescent="0.2">
      <c r="A129" t="s">
        <v>63</v>
      </c>
      <c r="B129" t="s">
        <v>60</v>
      </c>
      <c r="C129" s="7">
        <v>46310</v>
      </c>
      <c r="D129" s="5" t="s">
        <v>7</v>
      </c>
      <c r="E129" s="6">
        <v>8.41</v>
      </c>
      <c r="F129" s="18">
        <v>4.4598453300000003</v>
      </c>
      <c r="G129" s="6">
        <v>1.5</v>
      </c>
      <c r="H129" s="6">
        <f t="shared" si="6"/>
        <v>-39.007299225300002</v>
      </c>
      <c r="I129" t="s">
        <v>53</v>
      </c>
    </row>
    <row r="130" spans="1:12" x14ac:dyDescent="0.2">
      <c r="A130" t="s">
        <v>63</v>
      </c>
      <c r="B130" t="s">
        <v>61</v>
      </c>
      <c r="C130" s="7">
        <v>46310</v>
      </c>
      <c r="D130" s="5" t="s">
        <v>7</v>
      </c>
      <c r="E130" s="6">
        <v>44.62</v>
      </c>
      <c r="F130" s="18">
        <v>3</v>
      </c>
      <c r="G130" s="6">
        <v>1.5</v>
      </c>
      <c r="H130" s="6">
        <f t="shared" si="6"/>
        <v>-135.35999999999999</v>
      </c>
      <c r="I130" t="s">
        <v>53</v>
      </c>
    </row>
    <row r="131" spans="1:12" x14ac:dyDescent="0.2">
      <c r="A131" t="s">
        <v>62</v>
      </c>
      <c r="C131" s="11">
        <v>44599</v>
      </c>
      <c r="J131" s="12" t="s">
        <v>49</v>
      </c>
      <c r="K131" s="12">
        <v>7.35</v>
      </c>
      <c r="L131" s="12" t="s">
        <v>50</v>
      </c>
    </row>
    <row r="132" spans="1:12" x14ac:dyDescent="0.2">
      <c r="A132" t="s">
        <v>62</v>
      </c>
      <c r="C132" s="11">
        <v>44690</v>
      </c>
      <c r="J132" s="12" t="s">
        <v>49</v>
      </c>
      <c r="K132" s="12">
        <v>62.3</v>
      </c>
      <c r="L132" s="12" t="s">
        <v>50</v>
      </c>
    </row>
    <row r="133" spans="1:12" x14ac:dyDescent="0.2">
      <c r="A133" t="s">
        <v>62</v>
      </c>
      <c r="C133" s="11">
        <v>44755</v>
      </c>
      <c r="J133" s="12" t="s">
        <v>49</v>
      </c>
      <c r="K133" s="12">
        <v>8.52</v>
      </c>
      <c r="L133" s="12" t="s">
        <v>50</v>
      </c>
    </row>
    <row r="134" spans="1:12" x14ac:dyDescent="0.2">
      <c r="A134" t="s">
        <v>62</v>
      </c>
      <c r="C134" s="11">
        <v>44774</v>
      </c>
      <c r="J134" s="12" t="s">
        <v>49</v>
      </c>
      <c r="K134" s="12">
        <v>6.63</v>
      </c>
      <c r="L134" s="12" t="s">
        <v>50</v>
      </c>
    </row>
    <row r="135" spans="1:12" x14ac:dyDescent="0.2">
      <c r="A135" t="s">
        <v>62</v>
      </c>
      <c r="C135" s="11">
        <v>44798</v>
      </c>
      <c r="J135" s="12" t="s">
        <v>49</v>
      </c>
      <c r="K135" s="12">
        <v>100</v>
      </c>
      <c r="L135" s="12" t="s">
        <v>50</v>
      </c>
    </row>
    <row r="136" spans="1:12" x14ac:dyDescent="0.2">
      <c r="A136" t="s">
        <v>62</v>
      </c>
      <c r="C136" s="11">
        <v>44841</v>
      </c>
      <c r="J136" s="12" t="s">
        <v>49</v>
      </c>
      <c r="K136" s="12">
        <v>90.84</v>
      </c>
      <c r="L136" s="12" t="s">
        <v>50</v>
      </c>
    </row>
    <row r="137" spans="1:12" x14ac:dyDescent="0.2">
      <c r="A137" t="s">
        <v>62</v>
      </c>
      <c r="C137" s="11">
        <v>44866</v>
      </c>
      <c r="J137" s="12" t="s">
        <v>49</v>
      </c>
      <c r="K137" s="12">
        <v>8.69</v>
      </c>
      <c r="L137" s="12" t="s">
        <v>50</v>
      </c>
    </row>
    <row r="138" spans="1:12" x14ac:dyDescent="0.2">
      <c r="A138" t="s">
        <v>62</v>
      </c>
      <c r="C138" s="11">
        <v>44868</v>
      </c>
      <c r="J138" s="12" t="s">
        <v>51</v>
      </c>
      <c r="K138" s="12">
        <v>12.03</v>
      </c>
      <c r="L138" s="12" t="s">
        <v>50</v>
      </c>
    </row>
    <row r="139" spans="1:12" x14ac:dyDescent="0.2">
      <c r="A139" t="s">
        <v>62</v>
      </c>
      <c r="C139" s="11">
        <v>44949</v>
      </c>
      <c r="J139" s="12" t="s">
        <v>49</v>
      </c>
      <c r="K139" s="12">
        <v>104.98</v>
      </c>
      <c r="L139" s="12" t="s">
        <v>50</v>
      </c>
    </row>
    <row r="140" spans="1:12" x14ac:dyDescent="0.2">
      <c r="A140" t="s">
        <v>62</v>
      </c>
      <c r="C140" s="11">
        <v>44956</v>
      </c>
      <c r="J140" s="12" t="s">
        <v>49</v>
      </c>
      <c r="K140" s="12">
        <v>42.24</v>
      </c>
      <c r="L140" s="12" t="s">
        <v>50</v>
      </c>
    </row>
    <row r="141" spans="1:12" x14ac:dyDescent="0.2">
      <c r="A141" t="s">
        <v>62</v>
      </c>
      <c r="C141" s="11">
        <v>44958</v>
      </c>
      <c r="J141" s="12" t="s">
        <v>49</v>
      </c>
      <c r="K141" s="12">
        <v>31.59</v>
      </c>
      <c r="L141" s="12" t="s">
        <v>50</v>
      </c>
    </row>
    <row r="142" spans="1:12" x14ac:dyDescent="0.2">
      <c r="A142" t="s">
        <v>62</v>
      </c>
      <c r="C142" s="11">
        <v>44973</v>
      </c>
      <c r="J142" s="12" t="s">
        <v>49</v>
      </c>
      <c r="K142" s="12">
        <v>65.61</v>
      </c>
      <c r="L142" s="12" t="s">
        <v>50</v>
      </c>
    </row>
    <row r="143" spans="1:12" x14ac:dyDescent="0.2">
      <c r="A143" t="s">
        <v>62</v>
      </c>
      <c r="C143" s="11">
        <v>44992</v>
      </c>
      <c r="J143" s="12" t="s">
        <v>49</v>
      </c>
      <c r="K143" s="12">
        <v>65.239999999999995</v>
      </c>
      <c r="L143" s="12" t="s">
        <v>50</v>
      </c>
    </row>
    <row r="144" spans="1:12" x14ac:dyDescent="0.2">
      <c r="A144" t="s">
        <v>62</v>
      </c>
      <c r="C144" s="11">
        <v>44998</v>
      </c>
      <c r="J144" s="12" t="s">
        <v>51</v>
      </c>
      <c r="K144" s="12">
        <v>131.07</v>
      </c>
      <c r="L144" s="12" t="s">
        <v>50</v>
      </c>
    </row>
    <row r="145" spans="1:12" x14ac:dyDescent="0.2">
      <c r="A145" t="s">
        <v>62</v>
      </c>
      <c r="C145" s="11">
        <v>45026</v>
      </c>
      <c r="J145" s="12" t="s">
        <v>49</v>
      </c>
      <c r="K145" s="12">
        <v>63.89</v>
      </c>
      <c r="L145" s="12" t="s">
        <v>50</v>
      </c>
    </row>
    <row r="146" spans="1:12" x14ac:dyDescent="0.2">
      <c r="A146" t="s">
        <v>62</v>
      </c>
      <c r="C146" s="11">
        <v>45036</v>
      </c>
      <c r="J146" s="12" t="s">
        <v>49</v>
      </c>
      <c r="K146" s="12">
        <v>48.98</v>
      </c>
      <c r="L146" s="12" t="s">
        <v>50</v>
      </c>
    </row>
    <row r="147" spans="1:12" x14ac:dyDescent="0.2">
      <c r="A147" t="s">
        <v>62</v>
      </c>
      <c r="C147" s="11">
        <v>45036</v>
      </c>
      <c r="J147" s="12" t="s">
        <v>49</v>
      </c>
      <c r="K147" s="12">
        <v>14.69</v>
      </c>
      <c r="L147" s="12" t="s">
        <v>50</v>
      </c>
    </row>
    <row r="148" spans="1:12" x14ac:dyDescent="0.2">
      <c r="A148" t="s">
        <v>62</v>
      </c>
      <c r="C148" s="11">
        <v>45041</v>
      </c>
      <c r="J148" s="12" t="s">
        <v>49</v>
      </c>
      <c r="K148" s="12">
        <v>92.96</v>
      </c>
      <c r="L148" s="12" t="s">
        <v>50</v>
      </c>
    </row>
    <row r="149" spans="1:12" x14ac:dyDescent="0.2">
      <c r="A149" t="s">
        <v>62</v>
      </c>
      <c r="C149" s="11">
        <v>45041</v>
      </c>
      <c r="J149" s="12" t="s">
        <v>49</v>
      </c>
      <c r="K149" s="12">
        <v>83.17</v>
      </c>
      <c r="L149" s="12" t="s">
        <v>50</v>
      </c>
    </row>
    <row r="150" spans="1:12" x14ac:dyDescent="0.2">
      <c r="A150" t="s">
        <v>62</v>
      </c>
      <c r="C150" s="11">
        <v>45054</v>
      </c>
      <c r="J150" s="12" t="s">
        <v>49</v>
      </c>
      <c r="K150" s="12">
        <v>60.9</v>
      </c>
      <c r="L150" s="12" t="s">
        <v>50</v>
      </c>
    </row>
    <row r="151" spans="1:12" x14ac:dyDescent="0.2">
      <c r="A151" t="s">
        <v>62</v>
      </c>
      <c r="C151" s="11">
        <v>45089</v>
      </c>
      <c r="J151" s="12" t="s">
        <v>49</v>
      </c>
      <c r="K151" s="12">
        <v>50.38</v>
      </c>
      <c r="L151" s="12" t="s">
        <v>50</v>
      </c>
    </row>
    <row r="152" spans="1:12" x14ac:dyDescent="0.2">
      <c r="A152" t="s">
        <v>62</v>
      </c>
      <c r="C152" s="11">
        <v>45090</v>
      </c>
      <c r="J152" s="12" t="s">
        <v>49</v>
      </c>
      <c r="K152" s="12">
        <v>61.67</v>
      </c>
      <c r="L152" s="12" t="s">
        <v>50</v>
      </c>
    </row>
    <row r="153" spans="1:12" x14ac:dyDescent="0.2">
      <c r="A153" t="s">
        <v>62</v>
      </c>
      <c r="C153" s="11">
        <v>45099</v>
      </c>
      <c r="J153" s="12" t="s">
        <v>49</v>
      </c>
      <c r="K153" s="12">
        <v>60.55</v>
      </c>
      <c r="L153" s="12" t="s">
        <v>50</v>
      </c>
    </row>
    <row r="154" spans="1:12" x14ac:dyDescent="0.2">
      <c r="A154" t="s">
        <v>62</v>
      </c>
      <c r="C154" s="11">
        <v>45107</v>
      </c>
      <c r="J154" s="12" t="s">
        <v>49</v>
      </c>
      <c r="K154" s="12">
        <v>37.68</v>
      </c>
      <c r="L154" s="12" t="s">
        <v>50</v>
      </c>
    </row>
    <row r="155" spans="1:12" x14ac:dyDescent="0.2">
      <c r="A155" t="s">
        <v>62</v>
      </c>
      <c r="C155" s="11">
        <v>45114</v>
      </c>
      <c r="J155" s="12" t="s">
        <v>49</v>
      </c>
      <c r="K155" s="12">
        <v>204.18</v>
      </c>
      <c r="L155" s="12" t="s">
        <v>50</v>
      </c>
    </row>
    <row r="156" spans="1:12" x14ac:dyDescent="0.2">
      <c r="A156" t="s">
        <v>62</v>
      </c>
      <c r="C156" s="11">
        <v>45145</v>
      </c>
      <c r="J156" s="12" t="s">
        <v>49</v>
      </c>
      <c r="K156" s="12">
        <v>60.91</v>
      </c>
      <c r="L156" s="12" t="s">
        <v>50</v>
      </c>
    </row>
    <row r="157" spans="1:12" x14ac:dyDescent="0.2">
      <c r="A157" t="s">
        <v>62</v>
      </c>
      <c r="C157" s="11">
        <v>45145</v>
      </c>
      <c r="J157" s="12" t="s">
        <v>49</v>
      </c>
      <c r="K157" s="12">
        <v>17.760000000000002</v>
      </c>
      <c r="L157" s="12" t="s">
        <v>50</v>
      </c>
    </row>
    <row r="158" spans="1:12" x14ac:dyDescent="0.2">
      <c r="A158" t="s">
        <v>62</v>
      </c>
      <c r="C158" s="11">
        <v>45170</v>
      </c>
      <c r="J158" s="12" t="s">
        <v>49</v>
      </c>
      <c r="K158" s="12">
        <v>110.4</v>
      </c>
      <c r="L158" s="12" t="s">
        <v>50</v>
      </c>
    </row>
    <row r="159" spans="1:12" x14ac:dyDescent="0.2">
      <c r="A159" t="s">
        <v>62</v>
      </c>
      <c r="C159" s="11">
        <v>45247</v>
      </c>
      <c r="J159" s="12" t="s">
        <v>49</v>
      </c>
      <c r="K159" s="12">
        <v>34.979999999999997</v>
      </c>
      <c r="L159" s="12" t="s">
        <v>50</v>
      </c>
    </row>
    <row r="160" spans="1:12" x14ac:dyDescent="0.2">
      <c r="A160" t="s">
        <v>62</v>
      </c>
      <c r="C160" s="11">
        <v>45287</v>
      </c>
      <c r="J160" s="12" t="s">
        <v>49</v>
      </c>
      <c r="K160" s="12">
        <v>21.25</v>
      </c>
      <c r="L160" s="12" t="s">
        <v>50</v>
      </c>
    </row>
    <row r="161" spans="1:12" x14ac:dyDescent="0.2">
      <c r="A161" t="s">
        <v>62</v>
      </c>
      <c r="C161" s="11">
        <v>45297</v>
      </c>
      <c r="J161" s="12" t="s">
        <v>49</v>
      </c>
      <c r="K161" s="12">
        <v>40.909999999999997</v>
      </c>
      <c r="L161" s="12" t="s">
        <v>50</v>
      </c>
    </row>
    <row r="162" spans="1:12" x14ac:dyDescent="0.2">
      <c r="A162" t="s">
        <v>62</v>
      </c>
      <c r="C162" s="11">
        <v>45301</v>
      </c>
      <c r="J162" s="12" t="s">
        <v>49</v>
      </c>
      <c r="K162" s="12">
        <v>64.66</v>
      </c>
      <c r="L162" s="12" t="s">
        <v>50</v>
      </c>
    </row>
    <row r="163" spans="1:12" x14ac:dyDescent="0.2">
      <c r="A163" t="s">
        <v>62</v>
      </c>
      <c r="C163" s="11">
        <v>45370</v>
      </c>
      <c r="J163" s="12" t="s">
        <v>49</v>
      </c>
      <c r="K163" s="12">
        <v>35.94</v>
      </c>
      <c r="L163" s="12" t="s">
        <v>50</v>
      </c>
    </row>
    <row r="164" spans="1:12" x14ac:dyDescent="0.2">
      <c r="A164" t="s">
        <v>62</v>
      </c>
      <c r="C164" s="11">
        <v>45404</v>
      </c>
      <c r="J164" s="12" t="s">
        <v>49</v>
      </c>
      <c r="K164" s="12">
        <v>172.89</v>
      </c>
      <c r="L164" s="12" t="s">
        <v>50</v>
      </c>
    </row>
    <row r="165" spans="1:12" x14ac:dyDescent="0.2">
      <c r="A165" t="s">
        <v>62</v>
      </c>
      <c r="C165" s="11">
        <v>45464</v>
      </c>
      <c r="J165" s="12" t="s">
        <v>49</v>
      </c>
      <c r="K165" s="12">
        <v>246.51</v>
      </c>
      <c r="L165" s="12" t="s">
        <v>50</v>
      </c>
    </row>
    <row r="166" spans="1:12" x14ac:dyDescent="0.2">
      <c r="A166" t="s">
        <v>62</v>
      </c>
      <c r="C166" s="11">
        <v>45478</v>
      </c>
      <c r="J166" s="12" t="s">
        <v>49</v>
      </c>
      <c r="K166" s="12">
        <v>82.87</v>
      </c>
      <c r="L166" s="12" t="s">
        <v>50</v>
      </c>
    </row>
    <row r="167" spans="1:12" x14ac:dyDescent="0.2">
      <c r="A167" t="s">
        <v>62</v>
      </c>
      <c r="C167" s="11">
        <v>45506</v>
      </c>
      <c r="J167" s="12" t="s">
        <v>49</v>
      </c>
      <c r="K167" s="12">
        <v>177.27</v>
      </c>
      <c r="L167" s="12" t="s">
        <v>50</v>
      </c>
    </row>
    <row r="168" spans="1:12" x14ac:dyDescent="0.2">
      <c r="A168" t="s">
        <v>62</v>
      </c>
      <c r="C168" s="11">
        <v>45509</v>
      </c>
      <c r="J168" s="12" t="s">
        <v>49</v>
      </c>
      <c r="K168" s="12">
        <v>117.61</v>
      </c>
      <c r="L168" s="12" t="s">
        <v>50</v>
      </c>
    </row>
    <row r="169" spans="1:12" x14ac:dyDescent="0.2">
      <c r="A169" t="s">
        <v>62</v>
      </c>
      <c r="C169" s="11">
        <v>45520</v>
      </c>
      <c r="J169" s="12" t="s">
        <v>49</v>
      </c>
      <c r="K169" s="12">
        <v>29.29</v>
      </c>
      <c r="L169" s="12" t="s">
        <v>50</v>
      </c>
    </row>
    <row r="170" spans="1:12" x14ac:dyDescent="0.2">
      <c r="A170" t="s">
        <v>62</v>
      </c>
      <c r="C170" s="11">
        <v>45587</v>
      </c>
      <c r="J170" s="12" t="s">
        <v>49</v>
      </c>
      <c r="K170" s="12">
        <v>91.87</v>
      </c>
      <c r="L170" s="12" t="s">
        <v>50</v>
      </c>
    </row>
    <row r="171" spans="1:12" x14ac:dyDescent="0.2">
      <c r="A171" t="s">
        <v>62</v>
      </c>
      <c r="C171" s="11">
        <v>45608</v>
      </c>
      <c r="J171" s="12" t="s">
        <v>49</v>
      </c>
      <c r="K171" s="12">
        <v>57.75</v>
      </c>
      <c r="L171" s="12" t="s">
        <v>50</v>
      </c>
    </row>
    <row r="172" spans="1:12" x14ac:dyDescent="0.2">
      <c r="A172" t="s">
        <v>62</v>
      </c>
      <c r="C172" s="11">
        <v>45643</v>
      </c>
      <c r="J172" s="12" t="s">
        <v>49</v>
      </c>
      <c r="K172" s="12">
        <v>56.41</v>
      </c>
      <c r="L172" s="12" t="s">
        <v>50</v>
      </c>
    </row>
    <row r="173" spans="1:12" x14ac:dyDescent="0.2">
      <c r="A173" t="s">
        <v>62</v>
      </c>
      <c r="C173" s="11">
        <v>45657</v>
      </c>
      <c r="J173" s="12" t="s">
        <v>49</v>
      </c>
      <c r="K173" s="12">
        <v>47.4</v>
      </c>
      <c r="L173" s="12" t="s">
        <v>50</v>
      </c>
    </row>
    <row r="174" spans="1:12" x14ac:dyDescent="0.2">
      <c r="A174" t="s">
        <v>62</v>
      </c>
      <c r="C174" s="11">
        <v>45676</v>
      </c>
      <c r="J174" s="12" t="s">
        <v>49</v>
      </c>
      <c r="K174" s="12">
        <v>83.56</v>
      </c>
      <c r="L174" s="12" t="s">
        <v>50</v>
      </c>
    </row>
    <row r="175" spans="1:12" x14ac:dyDescent="0.2">
      <c r="A175" t="s">
        <v>62</v>
      </c>
      <c r="C175" s="11">
        <v>45691</v>
      </c>
      <c r="J175" s="12" t="s">
        <v>51</v>
      </c>
      <c r="K175" s="12">
        <v>150</v>
      </c>
      <c r="L175" s="12" t="s">
        <v>50</v>
      </c>
    </row>
    <row r="176" spans="1:12" x14ac:dyDescent="0.2">
      <c r="A176" t="s">
        <v>62</v>
      </c>
      <c r="C176" s="11">
        <v>45706</v>
      </c>
      <c r="J176" s="12" t="s">
        <v>49</v>
      </c>
      <c r="K176" s="12">
        <v>83.96</v>
      </c>
      <c r="L176" s="12" t="s">
        <v>50</v>
      </c>
    </row>
    <row r="177" spans="1:12" x14ac:dyDescent="0.2">
      <c r="A177" t="s">
        <v>62</v>
      </c>
      <c r="C177" s="11">
        <v>45727</v>
      </c>
      <c r="J177" s="12" t="s">
        <v>49</v>
      </c>
      <c r="K177" s="12">
        <v>80.900000000000006</v>
      </c>
      <c r="L177" s="12" t="s">
        <v>50</v>
      </c>
    </row>
    <row r="178" spans="1:12" x14ac:dyDescent="0.2">
      <c r="A178" t="s">
        <v>62</v>
      </c>
      <c r="C178" s="11">
        <v>45756</v>
      </c>
      <c r="J178" s="12" t="s">
        <v>49</v>
      </c>
      <c r="K178" s="12">
        <v>78.91</v>
      </c>
      <c r="L178" s="12" t="s">
        <v>50</v>
      </c>
    </row>
    <row r="179" spans="1:12" x14ac:dyDescent="0.2">
      <c r="A179" t="s">
        <v>62</v>
      </c>
      <c r="C179" s="11">
        <v>45788</v>
      </c>
      <c r="J179" s="12" t="s">
        <v>49</v>
      </c>
      <c r="K179" s="12">
        <v>306.33</v>
      </c>
      <c r="L179" s="12" t="s">
        <v>50</v>
      </c>
    </row>
    <row r="180" spans="1:12" x14ac:dyDescent="0.2">
      <c r="A180" t="s">
        <v>62</v>
      </c>
      <c r="C180" s="11">
        <v>45805</v>
      </c>
      <c r="J180" s="12" t="s">
        <v>49</v>
      </c>
      <c r="K180" s="12">
        <v>125.65</v>
      </c>
      <c r="L180" s="12" t="s">
        <v>50</v>
      </c>
    </row>
    <row r="181" spans="1:12" x14ac:dyDescent="0.2">
      <c r="A181" t="s">
        <v>62</v>
      </c>
      <c r="C181" s="11">
        <v>45807</v>
      </c>
      <c r="J181" s="12" t="s">
        <v>55</v>
      </c>
      <c r="K181" s="12">
        <v>0.05</v>
      </c>
      <c r="L181" s="12" t="s">
        <v>50</v>
      </c>
    </row>
    <row r="182" spans="1:12" x14ac:dyDescent="0.2">
      <c r="A182" t="s">
        <v>62</v>
      </c>
      <c r="C182" s="11">
        <v>45838</v>
      </c>
      <c r="J182" s="12" t="s">
        <v>55</v>
      </c>
      <c r="K182" s="12">
        <v>1.43</v>
      </c>
      <c r="L182" s="12" t="s">
        <v>50</v>
      </c>
    </row>
    <row r="183" spans="1:12" x14ac:dyDescent="0.2">
      <c r="A183" t="s">
        <v>62</v>
      </c>
      <c r="C183" s="11">
        <v>45840</v>
      </c>
      <c r="J183" s="12" t="s">
        <v>49</v>
      </c>
      <c r="K183" s="12">
        <v>196.98</v>
      </c>
      <c r="L183" s="12" t="s">
        <v>50</v>
      </c>
    </row>
    <row r="184" spans="1:12" x14ac:dyDescent="0.2">
      <c r="A184" t="s">
        <v>62</v>
      </c>
      <c r="C184" s="11">
        <v>45869</v>
      </c>
      <c r="J184" s="12" t="s">
        <v>55</v>
      </c>
      <c r="K184" s="12">
        <v>2.99</v>
      </c>
      <c r="L184" s="12" t="s">
        <v>50</v>
      </c>
    </row>
    <row r="185" spans="1:12" x14ac:dyDescent="0.2">
      <c r="A185" t="s">
        <v>62</v>
      </c>
      <c r="C185" s="11">
        <v>45879</v>
      </c>
      <c r="J185" s="12" t="s">
        <v>49</v>
      </c>
      <c r="K185" s="12">
        <v>166.74</v>
      </c>
      <c r="L185" s="12" t="s">
        <v>50</v>
      </c>
    </row>
    <row r="186" spans="1:12" x14ac:dyDescent="0.2">
      <c r="A186" t="s">
        <v>62</v>
      </c>
      <c r="C186" s="11">
        <v>45901</v>
      </c>
      <c r="J186" s="12" t="s">
        <v>55</v>
      </c>
      <c r="K186" s="12">
        <v>2.12</v>
      </c>
      <c r="L186" s="12" t="s">
        <v>50</v>
      </c>
    </row>
    <row r="187" spans="1:12" x14ac:dyDescent="0.2">
      <c r="A187" t="s">
        <v>62</v>
      </c>
      <c r="C187" s="11">
        <v>45931</v>
      </c>
      <c r="J187" s="12" t="s">
        <v>55</v>
      </c>
      <c r="K187" s="12">
        <v>0.53</v>
      </c>
      <c r="L187" s="12" t="s">
        <v>50</v>
      </c>
    </row>
    <row r="188" spans="1:12" x14ac:dyDescent="0.2">
      <c r="A188" t="s">
        <v>62</v>
      </c>
      <c r="C188" s="11">
        <v>45938</v>
      </c>
      <c r="J188" s="12" t="s">
        <v>49</v>
      </c>
      <c r="K188" s="12">
        <v>355.99</v>
      </c>
      <c r="L188" s="12" t="s">
        <v>50</v>
      </c>
    </row>
    <row r="189" spans="1:12" x14ac:dyDescent="0.2">
      <c r="A189" t="s">
        <v>62</v>
      </c>
      <c r="C189" s="11">
        <v>45962</v>
      </c>
      <c r="J189" s="12" t="s">
        <v>55</v>
      </c>
      <c r="K189" s="12">
        <v>0.2</v>
      </c>
      <c r="L189" s="12" t="s">
        <v>50</v>
      </c>
    </row>
    <row r="190" spans="1:12" x14ac:dyDescent="0.2">
      <c r="A190" t="s">
        <v>62</v>
      </c>
      <c r="C190" s="11">
        <v>45980</v>
      </c>
      <c r="J190" s="12" t="s">
        <v>49</v>
      </c>
      <c r="K190" s="12">
        <v>357.25</v>
      </c>
      <c r="L190" s="12" t="s">
        <v>50</v>
      </c>
    </row>
    <row r="191" spans="1:12" x14ac:dyDescent="0.2">
      <c r="A191" t="s">
        <v>62</v>
      </c>
      <c r="C191" s="11">
        <v>45980</v>
      </c>
      <c r="J191" s="12" t="s">
        <v>51</v>
      </c>
      <c r="K191" s="12">
        <v>150</v>
      </c>
      <c r="L191" s="12" t="s">
        <v>50</v>
      </c>
    </row>
    <row r="192" spans="1:12" x14ac:dyDescent="0.2">
      <c r="A192" t="s">
        <v>62</v>
      </c>
      <c r="C192" s="11">
        <v>45986</v>
      </c>
      <c r="J192" s="12" t="s">
        <v>51</v>
      </c>
      <c r="K192" s="12">
        <v>49.62</v>
      </c>
      <c r="L192" s="12" t="s">
        <v>50</v>
      </c>
    </row>
    <row r="193" spans="1:12" x14ac:dyDescent="0.2">
      <c r="A193" t="s">
        <v>62</v>
      </c>
      <c r="C193" s="11">
        <v>45990</v>
      </c>
      <c r="J193" s="12" t="s">
        <v>55</v>
      </c>
      <c r="K193" s="12">
        <v>0.05</v>
      </c>
      <c r="L193" s="12" t="s">
        <v>50</v>
      </c>
    </row>
    <row r="194" spans="1:12" x14ac:dyDescent="0.2">
      <c r="A194" t="s">
        <v>62</v>
      </c>
      <c r="C194" s="11">
        <v>46008</v>
      </c>
      <c r="J194" s="12" t="s">
        <v>49</v>
      </c>
      <c r="K194" s="12">
        <v>131.41999999999999</v>
      </c>
      <c r="L194" s="12" t="s">
        <v>50</v>
      </c>
    </row>
    <row r="195" spans="1:12" x14ac:dyDescent="0.2">
      <c r="A195" t="s">
        <v>62</v>
      </c>
      <c r="C195" s="11">
        <v>46023</v>
      </c>
      <c r="J195" s="12" t="s">
        <v>55</v>
      </c>
      <c r="K195" s="12">
        <v>0.16</v>
      </c>
      <c r="L195" s="12" t="s">
        <v>50</v>
      </c>
    </row>
    <row r="196" spans="1:12" x14ac:dyDescent="0.2">
      <c r="A196" t="s">
        <v>62</v>
      </c>
      <c r="C196" s="11">
        <v>46043</v>
      </c>
      <c r="J196" s="12" t="s">
        <v>49</v>
      </c>
      <c r="K196" s="12">
        <v>116.2</v>
      </c>
      <c r="L196" s="12" t="s">
        <v>50</v>
      </c>
    </row>
    <row r="197" spans="1:12" x14ac:dyDescent="0.2">
      <c r="A197" t="s">
        <v>62</v>
      </c>
      <c r="C197" s="11">
        <v>46045</v>
      </c>
      <c r="J197" s="12" t="s">
        <v>49</v>
      </c>
      <c r="K197" s="12">
        <v>262.45</v>
      </c>
      <c r="L197" s="12" t="s">
        <v>50</v>
      </c>
    </row>
    <row r="198" spans="1:12" x14ac:dyDescent="0.2">
      <c r="A198" t="s">
        <v>62</v>
      </c>
      <c r="C198" s="11">
        <v>46053</v>
      </c>
      <c r="J198" s="12" t="s">
        <v>55</v>
      </c>
      <c r="K198" s="12">
        <v>0.15</v>
      </c>
      <c r="L198" s="12" t="s">
        <v>50</v>
      </c>
    </row>
    <row r="199" spans="1:12" x14ac:dyDescent="0.2">
      <c r="A199" t="s">
        <v>62</v>
      </c>
      <c r="C199" s="11">
        <v>46057</v>
      </c>
      <c r="J199" s="12" t="s">
        <v>49</v>
      </c>
      <c r="K199" s="12">
        <v>45.52</v>
      </c>
      <c r="L199" s="12" t="s">
        <v>50</v>
      </c>
    </row>
    <row r="200" spans="1:12" x14ac:dyDescent="0.2">
      <c r="A200" t="s">
        <v>62</v>
      </c>
      <c r="C200" s="11">
        <v>46081</v>
      </c>
      <c r="J200" s="12" t="s">
        <v>55</v>
      </c>
      <c r="K200" s="16">
        <v>0.03</v>
      </c>
      <c r="L200" s="12" t="s">
        <v>50</v>
      </c>
    </row>
    <row r="201" spans="1:12" x14ac:dyDescent="0.2">
      <c r="A201" t="s">
        <v>62</v>
      </c>
      <c r="C201" s="11">
        <v>46100</v>
      </c>
      <c r="J201" s="12" t="s">
        <v>49</v>
      </c>
      <c r="K201" s="12">
        <v>178.75</v>
      </c>
      <c r="L201" s="12" t="s">
        <v>50</v>
      </c>
    </row>
    <row r="202" spans="1:12" x14ac:dyDescent="0.2">
      <c r="A202" t="s">
        <v>62</v>
      </c>
      <c r="C202" s="11">
        <v>46104</v>
      </c>
      <c r="J202" s="12" t="s">
        <v>51</v>
      </c>
      <c r="K202" s="12">
        <v>500</v>
      </c>
      <c r="L202" s="12" t="s">
        <v>50</v>
      </c>
    </row>
    <row r="203" spans="1:12" x14ac:dyDescent="0.2">
      <c r="A203" t="s">
        <v>62</v>
      </c>
      <c r="C203" s="11">
        <v>46112</v>
      </c>
      <c r="J203" s="12" t="s">
        <v>55</v>
      </c>
      <c r="K203" s="12">
        <v>0.32</v>
      </c>
      <c r="L203" s="12" t="s">
        <v>50</v>
      </c>
    </row>
    <row r="204" spans="1:12" x14ac:dyDescent="0.2">
      <c r="A204" t="s">
        <v>62</v>
      </c>
      <c r="C204" s="11">
        <v>46135</v>
      </c>
      <c r="J204" s="12" t="s">
        <v>49</v>
      </c>
      <c r="K204" s="12">
        <v>638.71</v>
      </c>
      <c r="L204" s="12" t="s">
        <v>50</v>
      </c>
    </row>
    <row r="205" spans="1:12" x14ac:dyDescent="0.2">
      <c r="A205" t="s">
        <v>62</v>
      </c>
      <c r="C205" s="11">
        <v>46143</v>
      </c>
      <c r="J205" s="12" t="s">
        <v>55</v>
      </c>
      <c r="K205" s="12">
        <v>0.73</v>
      </c>
      <c r="L205" s="12" t="s">
        <v>50</v>
      </c>
    </row>
    <row r="206" spans="1:12" x14ac:dyDescent="0.2">
      <c r="A206" t="s">
        <v>62</v>
      </c>
      <c r="C206" s="11">
        <v>46171</v>
      </c>
      <c r="J206" s="12" t="s">
        <v>55</v>
      </c>
      <c r="K206" s="12">
        <v>1.66</v>
      </c>
      <c r="L206" s="12" t="s">
        <v>50</v>
      </c>
    </row>
    <row r="207" spans="1:12" x14ac:dyDescent="0.2">
      <c r="A207" t="s">
        <v>62</v>
      </c>
      <c r="C207" s="11">
        <v>46175</v>
      </c>
      <c r="J207" s="12" t="s">
        <v>49</v>
      </c>
      <c r="K207" s="12">
        <v>305.56</v>
      </c>
      <c r="L207" s="12" t="s">
        <v>50</v>
      </c>
    </row>
    <row r="208" spans="1:12" x14ac:dyDescent="0.2">
      <c r="A208" t="s">
        <v>62</v>
      </c>
      <c r="C208" s="11">
        <v>46175</v>
      </c>
      <c r="J208" s="12" t="s">
        <v>49</v>
      </c>
      <c r="K208" s="12">
        <v>97.07</v>
      </c>
      <c r="L208" s="12" t="s">
        <v>50</v>
      </c>
    </row>
    <row r="209" spans="1:12" x14ac:dyDescent="0.2">
      <c r="A209" t="s">
        <v>62</v>
      </c>
      <c r="C209" s="11">
        <v>46203</v>
      </c>
      <c r="J209" s="12" t="s">
        <v>55</v>
      </c>
      <c r="K209" s="12">
        <v>2.0699999999999998</v>
      </c>
      <c r="L209" s="12" t="s">
        <v>50</v>
      </c>
    </row>
    <row r="210" spans="1:12" x14ac:dyDescent="0.2">
      <c r="A210" t="s">
        <v>62</v>
      </c>
      <c r="C210" s="11">
        <v>46216</v>
      </c>
      <c r="J210" s="12" t="s">
        <v>51</v>
      </c>
      <c r="K210" s="12">
        <v>214.79</v>
      </c>
      <c r="L210" s="12" t="s">
        <v>50</v>
      </c>
    </row>
    <row r="211" spans="1:12" x14ac:dyDescent="0.2">
      <c r="A211" t="s">
        <v>62</v>
      </c>
      <c r="C211" s="11">
        <v>46235</v>
      </c>
      <c r="J211" s="12" t="s">
        <v>55</v>
      </c>
      <c r="K211" s="12">
        <v>1.55</v>
      </c>
      <c r="L211" s="12" t="s">
        <v>50</v>
      </c>
    </row>
    <row r="212" spans="1:12" x14ac:dyDescent="0.2">
      <c r="A212" t="s">
        <v>62</v>
      </c>
      <c r="C212" s="11">
        <v>46241</v>
      </c>
      <c r="J212" s="12" t="s">
        <v>49</v>
      </c>
      <c r="K212" s="12">
        <v>350</v>
      </c>
      <c r="L212" s="12" t="s">
        <v>50</v>
      </c>
    </row>
    <row r="213" spans="1:12" x14ac:dyDescent="0.2">
      <c r="A213" t="s">
        <v>62</v>
      </c>
      <c r="C213" s="11">
        <v>46265</v>
      </c>
      <c r="J213" s="12" t="s">
        <v>55</v>
      </c>
      <c r="K213" s="12">
        <v>1.33</v>
      </c>
      <c r="L213" s="12" t="s">
        <v>50</v>
      </c>
    </row>
    <row r="214" spans="1:12" x14ac:dyDescent="0.2">
      <c r="A214" t="s">
        <v>62</v>
      </c>
      <c r="C214" s="11">
        <v>46295</v>
      </c>
      <c r="J214" s="12" t="s">
        <v>49</v>
      </c>
      <c r="K214" s="12">
        <v>404.42</v>
      </c>
      <c r="L214" s="12" t="s">
        <v>50</v>
      </c>
    </row>
    <row r="215" spans="1:12" x14ac:dyDescent="0.2">
      <c r="A215" t="s">
        <v>62</v>
      </c>
      <c r="C215" s="11">
        <v>46309</v>
      </c>
      <c r="J215" s="12" t="s">
        <v>49</v>
      </c>
      <c r="K215" s="12">
        <v>80.290000000000006</v>
      </c>
      <c r="L215" s="12" t="s">
        <v>50</v>
      </c>
    </row>
    <row r="216" spans="1:12" x14ac:dyDescent="0.2">
      <c r="A216" t="s">
        <v>65</v>
      </c>
      <c r="B216" t="s">
        <v>11</v>
      </c>
      <c r="C216" s="11">
        <v>44799</v>
      </c>
      <c r="K216" s="12">
        <v>0.06</v>
      </c>
      <c r="L216" s="12" t="s">
        <v>50</v>
      </c>
    </row>
    <row r="217" spans="1:12" x14ac:dyDescent="0.2">
      <c r="A217" t="s">
        <v>65</v>
      </c>
      <c r="B217" t="s">
        <v>10</v>
      </c>
      <c r="C217" s="11">
        <v>44813</v>
      </c>
      <c r="K217" s="12">
        <v>0.06</v>
      </c>
      <c r="L217" s="12" t="s">
        <v>50</v>
      </c>
    </row>
    <row r="218" spans="1:12" x14ac:dyDescent="0.2">
      <c r="A218" t="s">
        <v>65</v>
      </c>
      <c r="B218" t="s">
        <v>14</v>
      </c>
      <c r="C218" s="11">
        <v>44875</v>
      </c>
      <c r="K218" s="12">
        <v>0.09</v>
      </c>
      <c r="L218" s="12" t="s">
        <v>50</v>
      </c>
    </row>
    <row r="219" spans="1:12" x14ac:dyDescent="0.2">
      <c r="A219" t="s">
        <v>65</v>
      </c>
      <c r="B219" t="s">
        <v>11</v>
      </c>
      <c r="C219" s="11">
        <v>44890</v>
      </c>
      <c r="K219" s="12">
        <v>0.06</v>
      </c>
      <c r="L219" s="12" t="s">
        <v>50</v>
      </c>
    </row>
    <row r="220" spans="1:12" x14ac:dyDescent="0.2">
      <c r="A220" t="s">
        <v>65</v>
      </c>
      <c r="B220" t="s">
        <v>17</v>
      </c>
      <c r="C220" s="11">
        <v>44903</v>
      </c>
      <c r="K220" s="12">
        <v>0.01</v>
      </c>
      <c r="L220" s="12" t="s">
        <v>50</v>
      </c>
    </row>
    <row r="221" spans="1:12" x14ac:dyDescent="0.2">
      <c r="A221" t="s">
        <v>65</v>
      </c>
      <c r="B221" t="s">
        <v>10</v>
      </c>
      <c r="C221" s="11">
        <v>44904</v>
      </c>
      <c r="K221" s="12">
        <v>0.06</v>
      </c>
      <c r="L221" s="12" t="s">
        <v>50</v>
      </c>
    </row>
    <row r="222" spans="1:12" x14ac:dyDescent="0.2">
      <c r="A222" t="s">
        <v>65</v>
      </c>
      <c r="B222" t="s">
        <v>16</v>
      </c>
      <c r="C222" s="11">
        <v>44910</v>
      </c>
      <c r="K222" s="12">
        <v>0.08</v>
      </c>
      <c r="L222" s="12" t="s">
        <v>50</v>
      </c>
    </row>
    <row r="223" spans="1:12" x14ac:dyDescent="0.2">
      <c r="A223" t="s">
        <v>65</v>
      </c>
      <c r="B223" t="s">
        <v>14</v>
      </c>
      <c r="C223" s="11">
        <v>44973</v>
      </c>
      <c r="K223" s="12">
        <v>0.09</v>
      </c>
      <c r="L223" s="12" t="s">
        <v>50</v>
      </c>
    </row>
    <row r="224" spans="1:12" x14ac:dyDescent="0.2">
      <c r="A224" t="s">
        <v>65</v>
      </c>
      <c r="B224" t="s">
        <v>11</v>
      </c>
      <c r="C224" s="11">
        <v>44981</v>
      </c>
      <c r="K224" s="12">
        <v>0.06</v>
      </c>
      <c r="L224" s="12" t="s">
        <v>50</v>
      </c>
    </row>
    <row r="225" spans="1:12" x14ac:dyDescent="0.2">
      <c r="A225" t="s">
        <v>65</v>
      </c>
      <c r="B225" t="s">
        <v>17</v>
      </c>
      <c r="C225" s="11">
        <v>44994</v>
      </c>
      <c r="K225" s="12">
        <v>0.01</v>
      </c>
      <c r="L225" s="12" t="s">
        <v>50</v>
      </c>
    </row>
    <row r="226" spans="1:12" x14ac:dyDescent="0.2">
      <c r="A226" t="s">
        <v>65</v>
      </c>
      <c r="B226" t="s">
        <v>10</v>
      </c>
      <c r="C226" s="11">
        <v>44995</v>
      </c>
      <c r="K226" s="12">
        <v>0.06</v>
      </c>
      <c r="L226" s="12" t="s">
        <v>50</v>
      </c>
    </row>
    <row r="227" spans="1:12" x14ac:dyDescent="0.2">
      <c r="A227" t="s">
        <v>65</v>
      </c>
      <c r="B227" t="s">
        <v>16</v>
      </c>
      <c r="C227" s="11">
        <v>45000</v>
      </c>
      <c r="K227" s="12">
        <v>0.08</v>
      </c>
      <c r="L227" s="12" t="s">
        <v>50</v>
      </c>
    </row>
    <row r="228" spans="1:12" x14ac:dyDescent="0.2">
      <c r="A228" t="s">
        <v>65</v>
      </c>
      <c r="B228" t="s">
        <v>18</v>
      </c>
      <c r="C228" s="11">
        <v>45029</v>
      </c>
      <c r="K228" s="12">
        <v>0.13</v>
      </c>
      <c r="L228" s="12" t="s">
        <v>50</v>
      </c>
    </row>
    <row r="229" spans="1:12" x14ac:dyDescent="0.2">
      <c r="A229" t="s">
        <v>65</v>
      </c>
      <c r="B229" t="s">
        <v>14</v>
      </c>
      <c r="C229" s="11">
        <v>45064</v>
      </c>
      <c r="K229" s="12">
        <v>0.21</v>
      </c>
      <c r="L229" s="12" t="s">
        <v>50</v>
      </c>
    </row>
    <row r="230" spans="1:12" x14ac:dyDescent="0.2">
      <c r="A230" t="s">
        <v>65</v>
      </c>
      <c r="B230" t="s">
        <v>11</v>
      </c>
      <c r="C230" s="11">
        <v>45072</v>
      </c>
      <c r="K230" s="12">
        <v>0.06</v>
      </c>
      <c r="L230" s="12" t="s">
        <v>50</v>
      </c>
    </row>
    <row r="231" spans="1:12" x14ac:dyDescent="0.2">
      <c r="A231" t="s">
        <v>65</v>
      </c>
      <c r="B231" t="s">
        <v>17</v>
      </c>
      <c r="C231" s="11">
        <v>45085</v>
      </c>
      <c r="K231" s="12">
        <v>0.13</v>
      </c>
      <c r="L231" s="12" t="s">
        <v>50</v>
      </c>
    </row>
    <row r="232" spans="1:12" x14ac:dyDescent="0.2">
      <c r="A232" t="s">
        <v>65</v>
      </c>
      <c r="B232" t="s">
        <v>10</v>
      </c>
      <c r="C232" s="11">
        <v>45086</v>
      </c>
      <c r="K232" s="12">
        <v>0.06</v>
      </c>
      <c r="L232" s="12" t="s">
        <v>50</v>
      </c>
    </row>
    <row r="233" spans="1:12" x14ac:dyDescent="0.2">
      <c r="A233" t="s">
        <v>65</v>
      </c>
      <c r="B233" t="s">
        <v>16</v>
      </c>
      <c r="C233" s="11">
        <v>45097</v>
      </c>
      <c r="K233" s="12">
        <v>0.08</v>
      </c>
      <c r="L233" s="12" t="s">
        <v>50</v>
      </c>
    </row>
    <row r="234" spans="1:12" x14ac:dyDescent="0.2">
      <c r="A234" t="s">
        <v>65</v>
      </c>
      <c r="B234" t="s">
        <v>18</v>
      </c>
      <c r="C234" s="11">
        <v>45120</v>
      </c>
      <c r="K234" s="12">
        <v>0.13</v>
      </c>
      <c r="L234" s="12" t="s">
        <v>50</v>
      </c>
    </row>
    <row r="235" spans="1:12" x14ac:dyDescent="0.2">
      <c r="A235" t="s">
        <v>65</v>
      </c>
      <c r="B235" t="s">
        <v>14</v>
      </c>
      <c r="C235" s="11">
        <v>45155</v>
      </c>
      <c r="K235" s="12">
        <v>0.41</v>
      </c>
      <c r="L235" s="12" t="s">
        <v>50</v>
      </c>
    </row>
    <row r="236" spans="1:12" x14ac:dyDescent="0.2">
      <c r="A236" t="s">
        <v>65</v>
      </c>
      <c r="B236" t="s">
        <v>11</v>
      </c>
      <c r="C236" s="11">
        <v>45163</v>
      </c>
      <c r="K236" s="12">
        <v>0.52</v>
      </c>
      <c r="L236" s="12" t="s">
        <v>50</v>
      </c>
    </row>
    <row r="237" spans="1:12" x14ac:dyDescent="0.2">
      <c r="A237" t="s">
        <v>65</v>
      </c>
      <c r="B237" t="s">
        <v>10</v>
      </c>
      <c r="C237" s="7">
        <v>45180</v>
      </c>
      <c r="K237" s="12">
        <v>0.06</v>
      </c>
      <c r="L237" s="12" t="s">
        <v>50</v>
      </c>
    </row>
    <row r="238" spans="1:12" x14ac:dyDescent="0.2">
      <c r="A238" t="s">
        <v>65</v>
      </c>
      <c r="B238" t="s">
        <v>17</v>
      </c>
      <c r="C238" s="7">
        <v>45183</v>
      </c>
      <c r="K238" s="12">
        <v>0.23</v>
      </c>
      <c r="L238" s="12" t="s">
        <v>50</v>
      </c>
    </row>
    <row r="239" spans="1:12" x14ac:dyDescent="0.2">
      <c r="A239" t="s">
        <v>65</v>
      </c>
      <c r="B239" t="s">
        <v>23</v>
      </c>
      <c r="C239" s="7">
        <v>45184</v>
      </c>
      <c r="K239" s="12">
        <v>0.09</v>
      </c>
      <c r="L239" s="12" t="s">
        <v>50</v>
      </c>
    </row>
    <row r="240" spans="1:12" x14ac:dyDescent="0.2">
      <c r="A240" t="s">
        <v>65</v>
      </c>
      <c r="B240" t="s">
        <v>16</v>
      </c>
      <c r="C240" s="7">
        <v>45187</v>
      </c>
      <c r="K240" s="12">
        <v>0.08</v>
      </c>
      <c r="L240" s="12" t="s">
        <v>50</v>
      </c>
    </row>
    <row r="241" spans="1:12" x14ac:dyDescent="0.2">
      <c r="A241" t="s">
        <v>65</v>
      </c>
      <c r="B241" t="s">
        <v>9</v>
      </c>
      <c r="C241" s="7">
        <v>45197</v>
      </c>
      <c r="K241" s="12">
        <v>0.01</v>
      </c>
      <c r="L241" s="12" t="s">
        <v>50</v>
      </c>
    </row>
    <row r="242" spans="1:12" x14ac:dyDescent="0.2">
      <c r="A242" t="s">
        <v>65</v>
      </c>
      <c r="B242" t="s">
        <v>18</v>
      </c>
      <c r="C242" s="7">
        <v>45211</v>
      </c>
      <c r="K242" s="12">
        <v>0.14000000000000001</v>
      </c>
      <c r="L242" s="12" t="s">
        <v>50</v>
      </c>
    </row>
    <row r="243" spans="1:12" x14ac:dyDescent="0.2">
      <c r="A243" t="s">
        <v>65</v>
      </c>
      <c r="B243" t="s">
        <v>14</v>
      </c>
      <c r="C243" s="7">
        <v>45246</v>
      </c>
      <c r="K243" s="12">
        <v>0.41</v>
      </c>
      <c r="L243" s="12" t="s">
        <v>50</v>
      </c>
    </row>
    <row r="244" spans="1:12" x14ac:dyDescent="0.2">
      <c r="A244" t="s">
        <v>65</v>
      </c>
      <c r="B244" t="s">
        <v>11</v>
      </c>
      <c r="C244" s="7">
        <v>45254</v>
      </c>
      <c r="K244" s="12">
        <v>1.07</v>
      </c>
      <c r="L244" s="12" t="s">
        <v>50</v>
      </c>
    </row>
    <row r="245" spans="1:12" x14ac:dyDescent="0.2">
      <c r="A245" t="s">
        <v>65</v>
      </c>
      <c r="B245" t="s">
        <v>10</v>
      </c>
      <c r="C245" s="7">
        <v>45271</v>
      </c>
      <c r="K245" s="12">
        <v>7.0000000000000007E-2</v>
      </c>
      <c r="L245" s="12" t="s">
        <v>50</v>
      </c>
    </row>
    <row r="246" spans="1:12" x14ac:dyDescent="0.2">
      <c r="A246" t="s">
        <v>65</v>
      </c>
      <c r="B246" t="s">
        <v>17</v>
      </c>
      <c r="C246" s="7">
        <v>45274</v>
      </c>
      <c r="K246" s="12">
        <v>0.25</v>
      </c>
      <c r="L246" s="12" t="s">
        <v>50</v>
      </c>
    </row>
    <row r="247" spans="1:12" x14ac:dyDescent="0.2">
      <c r="A247" t="s">
        <v>65</v>
      </c>
      <c r="B247" t="s">
        <v>23</v>
      </c>
      <c r="C247" s="7">
        <v>45275</v>
      </c>
      <c r="K247" s="12">
        <v>0.09</v>
      </c>
      <c r="L247" s="12" t="s">
        <v>50</v>
      </c>
    </row>
    <row r="248" spans="1:12" x14ac:dyDescent="0.2">
      <c r="A248" t="s">
        <v>65</v>
      </c>
      <c r="B248" t="s">
        <v>16</v>
      </c>
      <c r="C248" s="7">
        <v>45275</v>
      </c>
      <c r="K248" s="12">
        <v>0.09</v>
      </c>
      <c r="L248" s="12" t="s">
        <v>50</v>
      </c>
    </row>
    <row r="249" spans="1:12" x14ac:dyDescent="0.2">
      <c r="A249" t="s">
        <v>65</v>
      </c>
      <c r="B249" t="s">
        <v>9</v>
      </c>
      <c r="C249" s="7">
        <v>45288</v>
      </c>
      <c r="K249" s="12">
        <v>0.01</v>
      </c>
      <c r="L249" s="12" t="s">
        <v>50</v>
      </c>
    </row>
    <row r="250" spans="1:12" x14ac:dyDescent="0.2">
      <c r="A250" t="s">
        <v>65</v>
      </c>
      <c r="B250" t="s">
        <v>18</v>
      </c>
      <c r="C250" s="7">
        <v>45302</v>
      </c>
      <c r="K250" s="12">
        <v>0.14000000000000001</v>
      </c>
      <c r="L250" s="12" t="s">
        <v>50</v>
      </c>
    </row>
    <row r="251" spans="1:12" x14ac:dyDescent="0.2">
      <c r="A251" t="s">
        <v>65</v>
      </c>
      <c r="B251" t="s">
        <v>14</v>
      </c>
      <c r="C251" s="7">
        <v>45337</v>
      </c>
      <c r="K251" s="12">
        <v>0.41</v>
      </c>
      <c r="L251" s="12" t="s">
        <v>50</v>
      </c>
    </row>
    <row r="252" spans="1:12" x14ac:dyDescent="0.2">
      <c r="A252" t="s">
        <v>65</v>
      </c>
      <c r="B252" t="s">
        <v>11</v>
      </c>
      <c r="C252" s="7">
        <v>45345</v>
      </c>
      <c r="K252" s="12">
        <v>1.26</v>
      </c>
      <c r="L252" s="12" t="s">
        <v>50</v>
      </c>
    </row>
    <row r="253" spans="1:12" x14ac:dyDescent="0.2">
      <c r="A253" t="s">
        <v>65</v>
      </c>
      <c r="B253" t="s">
        <v>10</v>
      </c>
      <c r="C253" s="7">
        <v>45362</v>
      </c>
      <c r="K253" s="12">
        <v>7.0000000000000007E-2</v>
      </c>
      <c r="L253" s="12" t="s">
        <v>50</v>
      </c>
    </row>
    <row r="254" spans="1:12" x14ac:dyDescent="0.2">
      <c r="A254" t="s">
        <v>65</v>
      </c>
      <c r="B254" t="s">
        <v>17</v>
      </c>
      <c r="C254" s="7">
        <v>45365</v>
      </c>
      <c r="K254" s="12">
        <v>0.25</v>
      </c>
      <c r="L254" s="12" t="s">
        <v>50</v>
      </c>
    </row>
    <row r="255" spans="1:12" x14ac:dyDescent="0.2">
      <c r="A255" t="s">
        <v>65</v>
      </c>
      <c r="B255" t="s">
        <v>23</v>
      </c>
      <c r="C255" s="7">
        <v>45366</v>
      </c>
      <c r="K255" s="12">
        <v>0.11</v>
      </c>
      <c r="L255" s="12" t="s">
        <v>50</v>
      </c>
    </row>
    <row r="256" spans="1:12" x14ac:dyDescent="0.2">
      <c r="A256" t="s">
        <v>65</v>
      </c>
      <c r="B256" t="s">
        <v>16</v>
      </c>
      <c r="C256" s="7">
        <v>45366</v>
      </c>
      <c r="K256" s="12">
        <v>0.09</v>
      </c>
      <c r="L256" s="12" t="s">
        <v>50</v>
      </c>
    </row>
    <row r="257" spans="1:12" x14ac:dyDescent="0.2">
      <c r="A257" t="s">
        <v>65</v>
      </c>
      <c r="B257" t="s">
        <v>9</v>
      </c>
      <c r="C257" s="7">
        <v>45378</v>
      </c>
      <c r="K257" s="12">
        <v>0.01</v>
      </c>
      <c r="L257" s="12" t="s">
        <v>50</v>
      </c>
    </row>
    <row r="258" spans="1:12" x14ac:dyDescent="0.2">
      <c r="A258" t="s">
        <v>65</v>
      </c>
      <c r="B258" t="s">
        <v>18</v>
      </c>
      <c r="C258" s="7">
        <v>45393</v>
      </c>
      <c r="K258" s="12">
        <v>0.16</v>
      </c>
      <c r="L258" s="12" t="s">
        <v>50</v>
      </c>
    </row>
    <row r="259" spans="1:12" x14ac:dyDescent="0.2">
      <c r="A259" t="s">
        <v>65</v>
      </c>
      <c r="B259" t="s">
        <v>14</v>
      </c>
      <c r="C259" s="7">
        <v>45428</v>
      </c>
      <c r="K259" s="12">
        <v>0.43</v>
      </c>
      <c r="L259" s="12" t="s">
        <v>50</v>
      </c>
    </row>
    <row r="260" spans="1:12" x14ac:dyDescent="0.2">
      <c r="A260" t="s">
        <v>65</v>
      </c>
      <c r="B260" t="s">
        <v>11</v>
      </c>
      <c r="C260" s="7">
        <v>45446</v>
      </c>
      <c r="K260" s="12">
        <v>1.76</v>
      </c>
      <c r="L260" s="12" t="s">
        <v>50</v>
      </c>
    </row>
    <row r="261" spans="1:12" x14ac:dyDescent="0.2">
      <c r="A261" t="s">
        <v>65</v>
      </c>
      <c r="B261" t="s">
        <v>17</v>
      </c>
      <c r="C261" s="7">
        <v>45456</v>
      </c>
      <c r="K261" s="12">
        <v>0.34</v>
      </c>
      <c r="L261" s="12" t="s">
        <v>50</v>
      </c>
    </row>
    <row r="262" spans="1:12" x14ac:dyDescent="0.2">
      <c r="A262" t="s">
        <v>65</v>
      </c>
      <c r="B262" t="s">
        <v>16</v>
      </c>
      <c r="C262" s="7">
        <v>45460</v>
      </c>
      <c r="K262" s="12">
        <v>0.09</v>
      </c>
      <c r="L262" s="12" t="s">
        <v>50</v>
      </c>
    </row>
    <row r="263" spans="1:12" x14ac:dyDescent="0.2">
      <c r="A263" t="s">
        <v>65</v>
      </c>
      <c r="B263" t="s">
        <v>15</v>
      </c>
      <c r="C263" s="7">
        <v>45460</v>
      </c>
      <c r="K263" s="12">
        <v>0.18</v>
      </c>
      <c r="L263" s="12" t="s">
        <v>50</v>
      </c>
    </row>
    <row r="264" spans="1:12" x14ac:dyDescent="0.2">
      <c r="A264" t="s">
        <v>65</v>
      </c>
      <c r="B264" t="s">
        <v>9</v>
      </c>
      <c r="C264" s="7">
        <v>45471</v>
      </c>
      <c r="K264" s="12">
        <v>0.02</v>
      </c>
      <c r="L264" s="12" t="s">
        <v>50</v>
      </c>
    </row>
    <row r="265" spans="1:12" x14ac:dyDescent="0.2">
      <c r="A265" t="s">
        <v>65</v>
      </c>
      <c r="B265" t="s">
        <v>18</v>
      </c>
      <c r="C265" s="7">
        <v>45484</v>
      </c>
      <c r="K265" s="12">
        <v>0.16</v>
      </c>
      <c r="L265" s="12" t="s">
        <v>50</v>
      </c>
    </row>
    <row r="266" spans="1:12" x14ac:dyDescent="0.2">
      <c r="A266" t="s">
        <v>65</v>
      </c>
      <c r="B266" t="s">
        <v>14</v>
      </c>
      <c r="C266" s="7">
        <v>45519</v>
      </c>
      <c r="K266" s="12">
        <v>0.43</v>
      </c>
      <c r="L266" s="12" t="s">
        <v>50</v>
      </c>
    </row>
    <row r="267" spans="1:12" x14ac:dyDescent="0.2">
      <c r="A267" t="s">
        <v>65</v>
      </c>
      <c r="B267" t="s">
        <v>11</v>
      </c>
      <c r="C267" s="7">
        <v>45534</v>
      </c>
      <c r="K267" s="12">
        <v>1.76</v>
      </c>
      <c r="L267" s="12" t="s">
        <v>50</v>
      </c>
    </row>
    <row r="268" spans="1:12" x14ac:dyDescent="0.2">
      <c r="A268" t="s">
        <v>65</v>
      </c>
      <c r="B268" t="s">
        <v>17</v>
      </c>
      <c r="C268" s="7">
        <v>45547</v>
      </c>
      <c r="K268" s="12">
        <v>0.47</v>
      </c>
      <c r="L268" s="12" t="s">
        <v>50</v>
      </c>
    </row>
    <row r="269" spans="1:12" x14ac:dyDescent="0.2">
      <c r="A269" t="s">
        <v>65</v>
      </c>
      <c r="B269" t="s">
        <v>15</v>
      </c>
      <c r="C269" s="7">
        <v>45551</v>
      </c>
      <c r="K269" s="12">
        <v>0.18</v>
      </c>
      <c r="L269" s="12" t="s">
        <v>50</v>
      </c>
    </row>
    <row r="270" spans="1:12" x14ac:dyDescent="0.2">
      <c r="A270" t="s">
        <v>65</v>
      </c>
      <c r="B270" t="s">
        <v>16</v>
      </c>
      <c r="C270" s="7">
        <v>45552</v>
      </c>
      <c r="K270" s="12">
        <v>0.09</v>
      </c>
      <c r="L270" s="12" t="s">
        <v>50</v>
      </c>
    </row>
    <row r="271" spans="1:12" x14ac:dyDescent="0.2">
      <c r="A271" t="s">
        <v>65</v>
      </c>
      <c r="B271" t="s">
        <v>9</v>
      </c>
      <c r="C271" s="7">
        <v>45568</v>
      </c>
      <c r="K271" s="12">
        <v>0.04</v>
      </c>
      <c r="L271" s="12" t="s">
        <v>50</v>
      </c>
    </row>
    <row r="272" spans="1:12" x14ac:dyDescent="0.2">
      <c r="A272" t="s">
        <v>65</v>
      </c>
      <c r="B272" t="s">
        <v>18</v>
      </c>
      <c r="C272" s="7">
        <v>45574</v>
      </c>
      <c r="K272" s="12">
        <v>0.19</v>
      </c>
      <c r="L272" s="12" t="s">
        <v>50</v>
      </c>
    </row>
    <row r="273" spans="1:12" x14ac:dyDescent="0.2">
      <c r="A273" t="s">
        <v>65</v>
      </c>
      <c r="B273" t="s">
        <v>14</v>
      </c>
      <c r="C273" s="7">
        <v>45610</v>
      </c>
      <c r="K273" s="12">
        <v>0.43</v>
      </c>
      <c r="L273" s="12" t="s">
        <v>50</v>
      </c>
    </row>
    <row r="274" spans="1:12" x14ac:dyDescent="0.2">
      <c r="A274" t="s">
        <v>65</v>
      </c>
      <c r="B274" t="s">
        <v>11</v>
      </c>
      <c r="C274" s="7">
        <v>45625</v>
      </c>
      <c r="K274" s="12">
        <v>1.89</v>
      </c>
      <c r="L274" s="12" t="s">
        <v>50</v>
      </c>
    </row>
    <row r="275" spans="1:12" x14ac:dyDescent="0.2">
      <c r="A275" t="s">
        <v>65</v>
      </c>
      <c r="B275" t="s">
        <v>17</v>
      </c>
      <c r="C275" s="7">
        <v>45638</v>
      </c>
      <c r="K275" s="12">
        <v>0.52</v>
      </c>
      <c r="L275" s="12" t="s">
        <v>50</v>
      </c>
    </row>
    <row r="276" spans="1:12" x14ac:dyDescent="0.2">
      <c r="A276" t="s">
        <v>65</v>
      </c>
      <c r="B276" t="s">
        <v>15</v>
      </c>
      <c r="C276" s="7">
        <v>45642</v>
      </c>
      <c r="K276" s="12">
        <v>0.18</v>
      </c>
      <c r="L276" s="12" t="s">
        <v>50</v>
      </c>
    </row>
    <row r="277" spans="1:12" x14ac:dyDescent="0.2">
      <c r="A277" t="s">
        <v>65</v>
      </c>
      <c r="B277" t="s">
        <v>16</v>
      </c>
      <c r="C277" s="7">
        <v>45642</v>
      </c>
      <c r="K277" s="12">
        <v>0.1</v>
      </c>
      <c r="L277" s="12" t="s">
        <v>50</v>
      </c>
    </row>
    <row r="278" spans="1:12" x14ac:dyDescent="0.2">
      <c r="A278" t="s">
        <v>65</v>
      </c>
      <c r="B278" t="s">
        <v>9</v>
      </c>
      <c r="C278" s="7">
        <v>45653</v>
      </c>
      <c r="K278" s="12">
        <v>0.04</v>
      </c>
      <c r="L278" s="12" t="s">
        <v>50</v>
      </c>
    </row>
    <row r="279" spans="1:12" x14ac:dyDescent="0.2">
      <c r="A279" t="s">
        <v>65</v>
      </c>
      <c r="B279" t="s">
        <v>18</v>
      </c>
      <c r="C279" s="7">
        <v>45666</v>
      </c>
      <c r="K279" s="12">
        <v>0.18</v>
      </c>
      <c r="L279" s="12" t="s">
        <v>50</v>
      </c>
    </row>
    <row r="280" spans="1:12" x14ac:dyDescent="0.2">
      <c r="A280" t="s">
        <v>65</v>
      </c>
      <c r="B280" t="s">
        <v>27</v>
      </c>
      <c r="C280" s="7">
        <v>45674</v>
      </c>
      <c r="K280" s="12">
        <v>0.03</v>
      </c>
      <c r="L280" s="12" t="s">
        <v>50</v>
      </c>
    </row>
    <row r="281" spans="1:12" x14ac:dyDescent="0.2">
      <c r="A281" t="s">
        <v>65</v>
      </c>
      <c r="B281" t="s">
        <v>14</v>
      </c>
      <c r="C281" s="7">
        <v>45701</v>
      </c>
      <c r="K281" s="12">
        <v>0.43</v>
      </c>
      <c r="L281" s="12" t="s">
        <v>50</v>
      </c>
    </row>
    <row r="282" spans="1:12" x14ac:dyDescent="0.2">
      <c r="A282" t="s">
        <v>65</v>
      </c>
      <c r="B282" t="s">
        <v>11</v>
      </c>
      <c r="C282" s="7">
        <v>45716</v>
      </c>
      <c r="K282" s="12">
        <v>1.9</v>
      </c>
      <c r="L282" s="12" t="s">
        <v>50</v>
      </c>
    </row>
    <row r="283" spans="1:12" x14ac:dyDescent="0.2">
      <c r="A283" t="s">
        <v>65</v>
      </c>
      <c r="B283" t="s">
        <v>29</v>
      </c>
      <c r="C283" s="7">
        <v>45716</v>
      </c>
      <c r="K283" s="12">
        <v>0.23</v>
      </c>
      <c r="L283" s="12" t="s">
        <v>50</v>
      </c>
    </row>
    <row r="284" spans="1:12" x14ac:dyDescent="0.2">
      <c r="A284" t="s">
        <v>65</v>
      </c>
      <c r="B284" t="s">
        <v>17</v>
      </c>
      <c r="C284" s="7">
        <v>45729</v>
      </c>
      <c r="K284" s="12">
        <v>0.52</v>
      </c>
      <c r="L284" s="12" t="s">
        <v>50</v>
      </c>
    </row>
    <row r="285" spans="1:12" x14ac:dyDescent="0.2">
      <c r="A285" t="s">
        <v>65</v>
      </c>
      <c r="B285" t="s">
        <v>15</v>
      </c>
      <c r="C285" s="7">
        <v>45733</v>
      </c>
      <c r="K285" s="12">
        <v>0.18</v>
      </c>
      <c r="L285" s="12" t="s">
        <v>50</v>
      </c>
    </row>
    <row r="286" spans="1:12" x14ac:dyDescent="0.2">
      <c r="A286" t="s">
        <v>65</v>
      </c>
      <c r="B286" t="s">
        <v>16</v>
      </c>
      <c r="C286" s="7">
        <v>45733</v>
      </c>
      <c r="K286" s="12">
        <v>0.1</v>
      </c>
      <c r="L286" s="12" t="s">
        <v>50</v>
      </c>
    </row>
    <row r="287" spans="1:12" x14ac:dyDescent="0.2">
      <c r="A287" t="s">
        <v>65</v>
      </c>
      <c r="B287" t="s">
        <v>30</v>
      </c>
      <c r="C287" s="7">
        <v>45742</v>
      </c>
      <c r="K287" s="12">
        <v>0.11</v>
      </c>
      <c r="L287" s="12" t="s">
        <v>50</v>
      </c>
    </row>
    <row r="288" spans="1:12" x14ac:dyDescent="0.2">
      <c r="A288" t="s">
        <v>65</v>
      </c>
      <c r="B288" t="s">
        <v>9</v>
      </c>
      <c r="C288" s="7">
        <v>45749</v>
      </c>
      <c r="K288" s="12">
        <v>0.05</v>
      </c>
      <c r="L288" s="12" t="s">
        <v>50</v>
      </c>
    </row>
    <row r="289" spans="1:12" x14ac:dyDescent="0.2">
      <c r="A289" t="s">
        <v>65</v>
      </c>
      <c r="B289" t="s">
        <v>18</v>
      </c>
      <c r="C289" s="7">
        <v>45757</v>
      </c>
      <c r="K289" s="12">
        <v>0.2</v>
      </c>
      <c r="L289" s="12" t="s">
        <v>50</v>
      </c>
    </row>
    <row r="290" spans="1:12" x14ac:dyDescent="0.2">
      <c r="A290" t="s">
        <v>65</v>
      </c>
      <c r="B290" t="s">
        <v>14</v>
      </c>
      <c r="C290" s="7">
        <v>45792</v>
      </c>
      <c r="K290" s="12">
        <v>0.44</v>
      </c>
      <c r="L290" s="12" t="s">
        <v>50</v>
      </c>
    </row>
    <row r="291" spans="1:12" x14ac:dyDescent="0.2">
      <c r="A291" t="s">
        <v>65</v>
      </c>
      <c r="B291" t="s">
        <v>11</v>
      </c>
      <c r="C291" s="7">
        <v>45807</v>
      </c>
      <c r="K291" s="12">
        <v>1.91</v>
      </c>
      <c r="L291" s="12" t="s">
        <v>50</v>
      </c>
    </row>
    <row r="292" spans="1:12" x14ac:dyDescent="0.2">
      <c r="A292" t="s">
        <v>65</v>
      </c>
      <c r="B292" t="s">
        <v>29</v>
      </c>
      <c r="C292" s="7">
        <v>45797</v>
      </c>
      <c r="K292" s="12">
        <v>0.25</v>
      </c>
      <c r="L292" s="12" t="s">
        <v>50</v>
      </c>
    </row>
    <row r="293" spans="1:12" x14ac:dyDescent="0.2">
      <c r="A293" t="s">
        <v>65</v>
      </c>
      <c r="B293" t="s">
        <v>17</v>
      </c>
      <c r="C293" s="7">
        <v>45820</v>
      </c>
      <c r="K293" s="12">
        <v>0.52</v>
      </c>
      <c r="L293" s="12" t="s">
        <v>50</v>
      </c>
    </row>
    <row r="294" spans="1:12" x14ac:dyDescent="0.2">
      <c r="A294" t="s">
        <v>65</v>
      </c>
      <c r="B294" t="s">
        <v>15</v>
      </c>
      <c r="C294" s="7">
        <v>45824</v>
      </c>
      <c r="K294" s="12">
        <v>0.19</v>
      </c>
      <c r="L294" s="12" t="s">
        <v>50</v>
      </c>
    </row>
    <row r="295" spans="1:12" x14ac:dyDescent="0.2">
      <c r="A295" t="s">
        <v>65</v>
      </c>
      <c r="B295" t="s">
        <v>16</v>
      </c>
      <c r="C295" s="7">
        <v>45824</v>
      </c>
      <c r="K295" s="12">
        <v>0.1</v>
      </c>
      <c r="L295" s="12" t="s">
        <v>50</v>
      </c>
    </row>
    <row r="296" spans="1:12" x14ac:dyDescent="0.2">
      <c r="A296" t="s">
        <v>65</v>
      </c>
      <c r="B296" t="s">
        <v>30</v>
      </c>
      <c r="C296" s="7">
        <v>45834</v>
      </c>
      <c r="K296" s="12">
        <v>0.11</v>
      </c>
      <c r="L296" s="12" t="s">
        <v>50</v>
      </c>
    </row>
    <row r="297" spans="1:12" x14ac:dyDescent="0.2">
      <c r="A297" t="s">
        <v>65</v>
      </c>
      <c r="B297" t="s">
        <v>9</v>
      </c>
      <c r="C297" s="7">
        <v>45841</v>
      </c>
      <c r="K297" s="12">
        <v>0.04</v>
      </c>
      <c r="L297" s="12" t="s">
        <v>50</v>
      </c>
    </row>
    <row r="298" spans="1:12" x14ac:dyDescent="0.2">
      <c r="A298" t="s">
        <v>65</v>
      </c>
      <c r="B298" t="s">
        <v>18</v>
      </c>
      <c r="C298" s="7">
        <v>45848</v>
      </c>
      <c r="K298" s="12">
        <v>0.23</v>
      </c>
      <c r="L298" s="12" t="s">
        <v>50</v>
      </c>
    </row>
    <row r="299" spans="1:12" x14ac:dyDescent="0.2">
      <c r="A299" t="s">
        <v>65</v>
      </c>
      <c r="B299" t="s">
        <v>27</v>
      </c>
      <c r="C299" s="7">
        <v>45853</v>
      </c>
      <c r="K299" s="12">
        <v>0.03</v>
      </c>
      <c r="L299" s="12" t="s">
        <v>50</v>
      </c>
    </row>
    <row r="300" spans="1:12" x14ac:dyDescent="0.2">
      <c r="A300" t="s">
        <v>65</v>
      </c>
      <c r="B300" t="s">
        <v>32</v>
      </c>
      <c r="C300" s="7">
        <v>45869</v>
      </c>
      <c r="K300" s="12">
        <v>0.15</v>
      </c>
      <c r="L300" s="12" t="s">
        <v>50</v>
      </c>
    </row>
    <row r="301" spans="1:12" x14ac:dyDescent="0.2">
      <c r="A301" t="s">
        <v>65</v>
      </c>
      <c r="B301" t="s">
        <v>14</v>
      </c>
      <c r="C301" s="7">
        <v>45883</v>
      </c>
      <c r="K301" s="12">
        <v>0.44</v>
      </c>
      <c r="L301" s="12" t="s">
        <v>50</v>
      </c>
    </row>
    <row r="302" spans="1:12" x14ac:dyDescent="0.2">
      <c r="A302" t="s">
        <v>65</v>
      </c>
      <c r="B302" t="s">
        <v>29</v>
      </c>
      <c r="C302" s="7">
        <v>45898</v>
      </c>
      <c r="K302" s="12">
        <v>0.25</v>
      </c>
      <c r="L302" s="12" t="s">
        <v>50</v>
      </c>
    </row>
    <row r="303" spans="1:12" x14ac:dyDescent="0.2">
      <c r="A303" t="s">
        <v>65</v>
      </c>
      <c r="B303" t="s">
        <v>17</v>
      </c>
      <c r="C303" s="7">
        <v>45911</v>
      </c>
      <c r="K303" s="12">
        <v>0.52</v>
      </c>
      <c r="L303" s="12" t="s">
        <v>50</v>
      </c>
    </row>
    <row r="304" spans="1:12" x14ac:dyDescent="0.2">
      <c r="A304" t="s">
        <v>65</v>
      </c>
      <c r="B304" t="s">
        <v>15</v>
      </c>
      <c r="C304" s="7">
        <v>45915</v>
      </c>
      <c r="K304" s="12">
        <v>0.19</v>
      </c>
      <c r="L304" s="12" t="s">
        <v>50</v>
      </c>
    </row>
    <row r="305" spans="1:12" x14ac:dyDescent="0.2">
      <c r="A305" t="s">
        <v>65</v>
      </c>
      <c r="B305" t="s">
        <v>30</v>
      </c>
      <c r="C305" s="7">
        <v>45929</v>
      </c>
      <c r="K305" s="12">
        <v>0.11</v>
      </c>
      <c r="L305" s="12" t="s">
        <v>50</v>
      </c>
    </row>
    <row r="306" spans="1:12" x14ac:dyDescent="0.2">
      <c r="A306" t="s">
        <v>65</v>
      </c>
      <c r="B306" t="s">
        <v>9</v>
      </c>
      <c r="C306" s="7">
        <v>45932</v>
      </c>
      <c r="K306" s="12">
        <v>0.03</v>
      </c>
      <c r="L306" s="12" t="s">
        <v>50</v>
      </c>
    </row>
    <row r="307" spans="1:12" x14ac:dyDescent="0.2">
      <c r="A307" t="s">
        <v>65</v>
      </c>
      <c r="B307" t="s">
        <v>18</v>
      </c>
      <c r="C307" s="7">
        <v>45939</v>
      </c>
      <c r="K307" s="12">
        <v>0.24</v>
      </c>
      <c r="L307" s="12" t="s">
        <v>50</v>
      </c>
    </row>
    <row r="308" spans="1:12" x14ac:dyDescent="0.2">
      <c r="A308" t="s">
        <v>65</v>
      </c>
      <c r="B308" t="s">
        <v>32</v>
      </c>
      <c r="C308" s="7">
        <v>45960</v>
      </c>
      <c r="K308" s="12">
        <v>0.28999999999999998</v>
      </c>
      <c r="L308" s="12" t="s">
        <v>50</v>
      </c>
    </row>
    <row r="309" spans="1:12" x14ac:dyDescent="0.2">
      <c r="A309" t="s">
        <v>65</v>
      </c>
      <c r="B309" t="s">
        <v>14</v>
      </c>
      <c r="C309" s="7">
        <v>45974</v>
      </c>
      <c r="K309" s="12">
        <v>0.44</v>
      </c>
      <c r="L309" s="12" t="s">
        <v>50</v>
      </c>
    </row>
    <row r="310" spans="1:12" x14ac:dyDescent="0.2">
      <c r="A310" t="s">
        <v>65</v>
      </c>
      <c r="B310" t="s">
        <v>29</v>
      </c>
      <c r="C310" s="7">
        <v>45989</v>
      </c>
      <c r="K310" s="12">
        <v>0.25</v>
      </c>
      <c r="L310" s="12" t="s">
        <v>50</v>
      </c>
    </row>
    <row r="311" spans="1:12" x14ac:dyDescent="0.2">
      <c r="A311" t="s">
        <v>65</v>
      </c>
      <c r="B311" t="s">
        <v>39</v>
      </c>
      <c r="C311" s="7">
        <v>46008</v>
      </c>
      <c r="K311" s="12">
        <v>4.28</v>
      </c>
      <c r="L311" s="12" t="s">
        <v>50</v>
      </c>
    </row>
    <row r="312" spans="1:12" x14ac:dyDescent="0.2">
      <c r="A312" t="s">
        <v>65</v>
      </c>
      <c r="B312" t="s">
        <v>30</v>
      </c>
      <c r="C312" s="7">
        <v>46014</v>
      </c>
      <c r="K312" s="12">
        <v>0.11</v>
      </c>
      <c r="L312" s="12" t="s">
        <v>50</v>
      </c>
    </row>
    <row r="313" spans="1:12" x14ac:dyDescent="0.2">
      <c r="A313" t="s">
        <v>65</v>
      </c>
      <c r="B313" t="s">
        <v>9</v>
      </c>
      <c r="C313" s="7">
        <v>46017</v>
      </c>
      <c r="K313" s="12">
        <v>0.03</v>
      </c>
      <c r="L313" s="12" t="s">
        <v>50</v>
      </c>
    </row>
    <row r="314" spans="1:12" x14ac:dyDescent="0.2">
      <c r="A314" t="s">
        <v>65</v>
      </c>
      <c r="B314" t="s">
        <v>36</v>
      </c>
      <c r="C314" s="7">
        <v>46020</v>
      </c>
      <c r="K314" s="12">
        <v>0.77</v>
      </c>
      <c r="L314" s="12" t="s">
        <v>50</v>
      </c>
    </row>
    <row r="315" spans="1:12" x14ac:dyDescent="0.2">
      <c r="A315" t="s">
        <v>65</v>
      </c>
      <c r="B315" t="s">
        <v>18</v>
      </c>
      <c r="C315" s="7">
        <v>46030</v>
      </c>
      <c r="K315" s="12">
        <v>0.24</v>
      </c>
      <c r="L315" s="12" t="s">
        <v>50</v>
      </c>
    </row>
    <row r="316" spans="1:12" x14ac:dyDescent="0.2">
      <c r="A316" t="s">
        <v>65</v>
      </c>
      <c r="B316" t="s">
        <v>27</v>
      </c>
      <c r="C316" s="7">
        <v>46042</v>
      </c>
      <c r="K316" s="12">
        <v>0.03</v>
      </c>
      <c r="L316" s="12" t="s">
        <v>50</v>
      </c>
    </row>
    <row r="317" spans="1:12" x14ac:dyDescent="0.2">
      <c r="A317" t="s">
        <v>65</v>
      </c>
      <c r="B317" t="s">
        <v>32</v>
      </c>
      <c r="C317" s="7">
        <v>46051</v>
      </c>
      <c r="K317" s="12">
        <v>0.36</v>
      </c>
      <c r="L317" s="12" t="s">
        <v>50</v>
      </c>
    </row>
    <row r="318" spans="1:12" x14ac:dyDescent="0.2">
      <c r="A318" t="s">
        <v>65</v>
      </c>
      <c r="B318" t="s">
        <v>29</v>
      </c>
      <c r="C318" s="7">
        <v>46080</v>
      </c>
      <c r="K318" s="12">
        <v>0.25</v>
      </c>
      <c r="L318" s="12" t="s">
        <v>50</v>
      </c>
    </row>
    <row r="319" spans="1:12" x14ac:dyDescent="0.2">
      <c r="A319" t="s">
        <v>65</v>
      </c>
      <c r="B319" t="s">
        <v>17</v>
      </c>
      <c r="C319" s="7">
        <v>46093</v>
      </c>
      <c r="K319" s="12">
        <v>0.56999999999999995</v>
      </c>
      <c r="L319" s="12" t="s">
        <v>50</v>
      </c>
    </row>
    <row r="320" spans="1:12" x14ac:dyDescent="0.2">
      <c r="A320" t="s">
        <v>65</v>
      </c>
      <c r="B320" t="s">
        <v>15</v>
      </c>
      <c r="C320" s="7">
        <v>46097</v>
      </c>
      <c r="K320" s="12">
        <v>0.19</v>
      </c>
      <c r="L320" s="12" t="s">
        <v>50</v>
      </c>
    </row>
    <row r="321" spans="1:12" x14ac:dyDescent="0.2">
      <c r="A321" t="s">
        <v>65</v>
      </c>
      <c r="B321" t="s">
        <v>30</v>
      </c>
      <c r="C321" s="7">
        <v>46107</v>
      </c>
      <c r="K321" s="12">
        <v>0.11</v>
      </c>
      <c r="L321" s="12" t="s">
        <v>50</v>
      </c>
    </row>
    <row r="322" spans="1:12" x14ac:dyDescent="0.2">
      <c r="A322" t="s">
        <v>65</v>
      </c>
      <c r="B322" t="s">
        <v>9</v>
      </c>
      <c r="C322" s="7">
        <v>46113</v>
      </c>
      <c r="K322" s="12">
        <v>0.03</v>
      </c>
      <c r="L322" s="12" t="s">
        <v>50</v>
      </c>
    </row>
    <row r="323" spans="1:12" x14ac:dyDescent="0.2">
      <c r="A323" t="s">
        <v>65</v>
      </c>
      <c r="B323" t="s">
        <v>18</v>
      </c>
      <c r="C323" s="7">
        <v>46121</v>
      </c>
      <c r="K323" s="12">
        <v>0.28000000000000003</v>
      </c>
      <c r="L323" s="12" t="s">
        <v>50</v>
      </c>
    </row>
    <row r="324" spans="1:12" x14ac:dyDescent="0.2">
      <c r="A324" t="s">
        <v>65</v>
      </c>
      <c r="B324" t="s">
        <v>32</v>
      </c>
      <c r="C324" s="7">
        <v>46142</v>
      </c>
      <c r="K324" s="12">
        <v>0.25</v>
      </c>
      <c r="L324" s="12" t="s">
        <v>50</v>
      </c>
    </row>
    <row r="325" spans="1:12" x14ac:dyDescent="0.2">
      <c r="A325" t="s">
        <v>65</v>
      </c>
      <c r="B325" t="s">
        <v>14</v>
      </c>
      <c r="C325" s="7">
        <v>46156</v>
      </c>
      <c r="K325" s="12">
        <v>0.46</v>
      </c>
      <c r="L325" s="12" t="s">
        <v>50</v>
      </c>
    </row>
    <row r="326" spans="1:12" x14ac:dyDescent="0.2">
      <c r="A326" t="s">
        <v>65</v>
      </c>
      <c r="B326" t="s">
        <v>17</v>
      </c>
      <c r="C326" s="7">
        <v>46184</v>
      </c>
      <c r="K326" s="12">
        <v>0.56999999999999995</v>
      </c>
      <c r="L326" s="12" t="s">
        <v>50</v>
      </c>
    </row>
    <row r="327" spans="1:12" x14ac:dyDescent="0.2">
      <c r="A327" t="s">
        <v>65</v>
      </c>
      <c r="B327" t="s">
        <v>15</v>
      </c>
      <c r="C327" s="7">
        <v>46188</v>
      </c>
      <c r="K327" s="12">
        <v>0.2</v>
      </c>
      <c r="L327" s="12" t="s">
        <v>50</v>
      </c>
    </row>
    <row r="328" spans="1:12" x14ac:dyDescent="0.2">
      <c r="A328" t="s">
        <v>65</v>
      </c>
      <c r="B328" t="s">
        <v>44</v>
      </c>
      <c r="C328" s="7">
        <v>46188</v>
      </c>
      <c r="K328" s="12">
        <v>0.34</v>
      </c>
      <c r="L328" s="12" t="s">
        <v>50</v>
      </c>
    </row>
    <row r="329" spans="1:12" x14ac:dyDescent="0.2">
      <c r="A329" t="s">
        <v>65</v>
      </c>
      <c r="B329" t="s">
        <v>30</v>
      </c>
      <c r="C329" s="7">
        <v>46198</v>
      </c>
      <c r="K329" s="12">
        <v>0.11</v>
      </c>
      <c r="L329" s="12" t="s">
        <v>50</v>
      </c>
    </row>
    <row r="330" spans="1:12" x14ac:dyDescent="0.2">
      <c r="A330" t="s">
        <v>65</v>
      </c>
      <c r="B330" t="s">
        <v>9</v>
      </c>
      <c r="C330" s="7">
        <v>46199</v>
      </c>
      <c r="K330" s="12">
        <v>0.66</v>
      </c>
      <c r="L330" s="12" t="s">
        <v>50</v>
      </c>
    </row>
    <row r="331" spans="1:12" x14ac:dyDescent="0.2">
      <c r="A331" t="s">
        <v>65</v>
      </c>
      <c r="B331" t="s">
        <v>18</v>
      </c>
      <c r="C331" s="7">
        <v>46212</v>
      </c>
      <c r="K331" s="12">
        <v>0.28000000000000003</v>
      </c>
      <c r="L331" s="12" t="s">
        <v>50</v>
      </c>
    </row>
    <row r="332" spans="1:12" x14ac:dyDescent="0.2">
      <c r="A332" t="s">
        <v>65</v>
      </c>
      <c r="B332" t="s">
        <v>27</v>
      </c>
      <c r="C332" s="7">
        <v>46218</v>
      </c>
      <c r="K332" s="12">
        <v>0.03</v>
      </c>
      <c r="L332" s="12" t="s">
        <v>50</v>
      </c>
    </row>
    <row r="333" spans="1:12" x14ac:dyDescent="0.2">
      <c r="A333" t="s">
        <v>65</v>
      </c>
      <c r="B333" t="s">
        <v>32</v>
      </c>
      <c r="C333" s="7">
        <v>46233</v>
      </c>
      <c r="K333" s="12">
        <v>0.25</v>
      </c>
      <c r="L333" s="12" t="s">
        <v>50</v>
      </c>
    </row>
    <row r="334" spans="1:12" x14ac:dyDescent="0.2">
      <c r="A334" t="s">
        <v>65</v>
      </c>
      <c r="B334" t="s">
        <v>14</v>
      </c>
      <c r="C334" s="7">
        <v>46247</v>
      </c>
      <c r="K334" s="12">
        <v>0.46</v>
      </c>
      <c r="L334" s="12" t="s">
        <v>50</v>
      </c>
    </row>
    <row r="335" spans="1:12" x14ac:dyDescent="0.2">
      <c r="A335" t="s">
        <v>65</v>
      </c>
      <c r="B335" t="s">
        <v>17</v>
      </c>
      <c r="C335" s="7">
        <v>46275</v>
      </c>
      <c r="K335" s="12">
        <v>0.56999999999999995</v>
      </c>
      <c r="L335" s="12" t="s">
        <v>50</v>
      </c>
    </row>
    <row r="336" spans="1:12" x14ac:dyDescent="0.2">
      <c r="A336" t="s">
        <v>65</v>
      </c>
      <c r="B336" t="s">
        <v>15</v>
      </c>
      <c r="C336" s="7">
        <v>46279</v>
      </c>
      <c r="K336" s="12">
        <v>0.2</v>
      </c>
      <c r="L336" s="12" t="s">
        <v>50</v>
      </c>
    </row>
    <row r="337" spans="1:12" x14ac:dyDescent="0.2">
      <c r="A337" t="s">
        <v>65</v>
      </c>
      <c r="B337" t="s">
        <v>44</v>
      </c>
      <c r="C337" s="7">
        <v>46280</v>
      </c>
      <c r="K337" s="12">
        <v>0.34</v>
      </c>
      <c r="L337" s="12" t="s">
        <v>50</v>
      </c>
    </row>
    <row r="338" spans="1:12" x14ac:dyDescent="0.2">
      <c r="A338" t="s">
        <v>65</v>
      </c>
      <c r="B338" t="s">
        <v>45</v>
      </c>
      <c r="C338" s="7">
        <v>46290</v>
      </c>
      <c r="K338" s="12">
        <v>1.24</v>
      </c>
      <c r="L338" s="12" t="s">
        <v>50</v>
      </c>
    </row>
    <row r="339" spans="1:12" x14ac:dyDescent="0.2">
      <c r="A339" t="s">
        <v>65</v>
      </c>
      <c r="B339" t="s">
        <v>30</v>
      </c>
      <c r="C339" s="7">
        <v>46293</v>
      </c>
      <c r="K339" s="12">
        <v>0.11</v>
      </c>
      <c r="L339" s="12" t="s">
        <v>50</v>
      </c>
    </row>
    <row r="340" spans="1:12" x14ac:dyDescent="0.2">
      <c r="A340" t="s">
        <v>65</v>
      </c>
      <c r="B340" t="s">
        <v>58</v>
      </c>
      <c r="C340" s="7">
        <v>46303</v>
      </c>
      <c r="K340" s="12">
        <v>0.14000000000000001</v>
      </c>
      <c r="L340" s="12" t="s">
        <v>50</v>
      </c>
    </row>
  </sheetData>
  <autoFilter ref="B1:I120" xr:uid="{F16A550D-3758-9C48-BA26-845476CF4C11}">
    <sortState xmlns:xlrd2="http://schemas.microsoft.com/office/spreadsheetml/2017/richdata2" ref="B2:I120">
      <sortCondition ref="C1:C1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8250-3877-2B49-B305-738A1D888182}">
  <dimension ref="A1:G104"/>
  <sheetViews>
    <sheetView zoomScale="156" workbookViewId="0">
      <selection activeCell="B1" sqref="B1:D1"/>
    </sheetView>
  </sheetViews>
  <sheetFormatPr baseColWidth="10" defaultRowHeight="16" x14ac:dyDescent="0.2"/>
  <cols>
    <col min="1" max="1" width="11.5" style="12" bestFit="1" customWidth="1"/>
    <col min="2" max="2" width="17.5" style="12" bestFit="1" customWidth="1"/>
    <col min="3" max="3" width="8.33203125" style="12" customWidth="1"/>
    <col min="4" max="4" width="9.83203125" style="12" bestFit="1" customWidth="1"/>
  </cols>
  <sheetData>
    <row r="1" spans="1:7" x14ac:dyDescent="0.2">
      <c r="A1" s="10" t="s">
        <v>1</v>
      </c>
      <c r="B1" s="10" t="s">
        <v>46</v>
      </c>
      <c r="C1" s="10" t="s">
        <v>47</v>
      </c>
      <c r="D1" s="10" t="s">
        <v>48</v>
      </c>
      <c r="G1" s="10"/>
    </row>
    <row r="2" spans="1:7" x14ac:dyDescent="0.2">
      <c r="A2" s="11">
        <v>44599</v>
      </c>
      <c r="B2" s="12" t="s">
        <v>49</v>
      </c>
      <c r="C2" s="12">
        <v>7.35</v>
      </c>
      <c r="D2" s="12" t="s">
        <v>50</v>
      </c>
    </row>
    <row r="3" spans="1:7" x14ac:dyDescent="0.2">
      <c r="A3" s="11">
        <v>44690</v>
      </c>
      <c r="B3" s="12" t="s">
        <v>49</v>
      </c>
      <c r="C3" s="12">
        <v>62.3</v>
      </c>
      <c r="D3" s="12" t="s">
        <v>50</v>
      </c>
    </row>
    <row r="4" spans="1:7" x14ac:dyDescent="0.2">
      <c r="A4" s="11">
        <v>44755</v>
      </c>
      <c r="B4" s="12" t="s">
        <v>49</v>
      </c>
      <c r="C4" s="12">
        <v>8.52</v>
      </c>
      <c r="D4" s="12" t="s">
        <v>50</v>
      </c>
    </row>
    <row r="5" spans="1:7" x14ac:dyDescent="0.2">
      <c r="A5" s="11">
        <v>44774</v>
      </c>
      <c r="B5" s="12" t="s">
        <v>49</v>
      </c>
      <c r="C5" s="12">
        <v>6.63</v>
      </c>
      <c r="D5" s="12" t="s">
        <v>50</v>
      </c>
    </row>
    <row r="6" spans="1:7" x14ac:dyDescent="0.2">
      <c r="A6" s="11">
        <v>44798</v>
      </c>
      <c r="B6" s="12" t="s">
        <v>49</v>
      </c>
      <c r="C6" s="12">
        <v>100</v>
      </c>
      <c r="D6" s="12" t="s">
        <v>50</v>
      </c>
    </row>
    <row r="7" spans="1:7" x14ac:dyDescent="0.2">
      <c r="A7" s="11">
        <v>44841</v>
      </c>
      <c r="B7" s="12" t="s">
        <v>49</v>
      </c>
      <c r="C7" s="12">
        <v>90.84</v>
      </c>
      <c r="D7" s="12" t="s">
        <v>50</v>
      </c>
    </row>
    <row r="8" spans="1:7" x14ac:dyDescent="0.2">
      <c r="A8" s="11">
        <v>44866</v>
      </c>
      <c r="B8" s="12" t="s">
        <v>49</v>
      </c>
      <c r="C8" s="12">
        <v>8.69</v>
      </c>
      <c r="D8" s="12" t="s">
        <v>50</v>
      </c>
    </row>
    <row r="9" spans="1:7" x14ac:dyDescent="0.2">
      <c r="A9" s="11">
        <v>44868</v>
      </c>
      <c r="B9" s="12" t="s">
        <v>51</v>
      </c>
      <c r="C9" s="12">
        <v>12.03</v>
      </c>
      <c r="D9" s="12" t="s">
        <v>50</v>
      </c>
    </row>
    <row r="10" spans="1:7" x14ac:dyDescent="0.2">
      <c r="A10" s="11">
        <v>44949</v>
      </c>
      <c r="B10" s="12" t="s">
        <v>49</v>
      </c>
      <c r="C10" s="12">
        <v>104.98</v>
      </c>
      <c r="D10" s="12" t="s">
        <v>50</v>
      </c>
    </row>
    <row r="11" spans="1:7" x14ac:dyDescent="0.2">
      <c r="A11" s="11">
        <v>44956</v>
      </c>
      <c r="B11" s="12" t="s">
        <v>49</v>
      </c>
      <c r="C11" s="12">
        <v>42.24</v>
      </c>
      <c r="D11" s="12" t="s">
        <v>50</v>
      </c>
    </row>
    <row r="12" spans="1:7" x14ac:dyDescent="0.2">
      <c r="A12" s="11">
        <v>44958</v>
      </c>
      <c r="B12" s="12" t="s">
        <v>49</v>
      </c>
      <c r="C12" s="12">
        <v>31.59</v>
      </c>
      <c r="D12" s="12" t="s">
        <v>50</v>
      </c>
    </row>
    <row r="13" spans="1:7" x14ac:dyDescent="0.2">
      <c r="A13" s="11">
        <v>44973</v>
      </c>
      <c r="B13" s="12" t="s">
        <v>49</v>
      </c>
      <c r="C13" s="12">
        <v>65.61</v>
      </c>
      <c r="D13" s="12" t="s">
        <v>50</v>
      </c>
    </row>
    <row r="14" spans="1:7" x14ac:dyDescent="0.2">
      <c r="A14" s="11">
        <v>44992</v>
      </c>
      <c r="B14" s="12" t="s">
        <v>49</v>
      </c>
      <c r="C14" s="12">
        <v>65.239999999999995</v>
      </c>
      <c r="D14" s="12" t="s">
        <v>50</v>
      </c>
    </row>
    <row r="15" spans="1:7" x14ac:dyDescent="0.2">
      <c r="A15" s="11">
        <v>44998</v>
      </c>
      <c r="B15" s="12" t="s">
        <v>51</v>
      </c>
      <c r="C15" s="12">
        <v>131.07</v>
      </c>
      <c r="D15" s="12" t="s">
        <v>50</v>
      </c>
    </row>
    <row r="16" spans="1:7" x14ac:dyDescent="0.2">
      <c r="A16" s="11">
        <v>45026</v>
      </c>
      <c r="B16" s="12" t="s">
        <v>49</v>
      </c>
      <c r="C16" s="12">
        <v>63.89</v>
      </c>
      <c r="D16" s="12" t="s">
        <v>50</v>
      </c>
    </row>
    <row r="17" spans="1:4" x14ac:dyDescent="0.2">
      <c r="A17" s="11">
        <v>45036</v>
      </c>
      <c r="B17" s="12" t="s">
        <v>49</v>
      </c>
      <c r="C17" s="12">
        <v>48.98</v>
      </c>
      <c r="D17" s="12" t="s">
        <v>50</v>
      </c>
    </row>
    <row r="18" spans="1:4" x14ac:dyDescent="0.2">
      <c r="A18" s="11">
        <v>45036</v>
      </c>
      <c r="B18" s="12" t="s">
        <v>49</v>
      </c>
      <c r="C18" s="12">
        <v>14.69</v>
      </c>
      <c r="D18" s="12" t="s">
        <v>50</v>
      </c>
    </row>
    <row r="19" spans="1:4" x14ac:dyDescent="0.2">
      <c r="A19" s="11">
        <v>45041</v>
      </c>
      <c r="B19" s="12" t="s">
        <v>49</v>
      </c>
      <c r="C19" s="12">
        <v>92.96</v>
      </c>
      <c r="D19" s="12" t="s">
        <v>50</v>
      </c>
    </row>
    <row r="20" spans="1:4" x14ac:dyDescent="0.2">
      <c r="A20" s="11">
        <v>45041</v>
      </c>
      <c r="B20" s="12" t="s">
        <v>49</v>
      </c>
      <c r="C20" s="12">
        <v>83.17</v>
      </c>
      <c r="D20" s="12" t="s">
        <v>50</v>
      </c>
    </row>
    <row r="21" spans="1:4" x14ac:dyDescent="0.2">
      <c r="A21" s="11">
        <v>45054</v>
      </c>
      <c r="B21" s="12" t="s">
        <v>49</v>
      </c>
      <c r="C21" s="12">
        <v>60.9</v>
      </c>
      <c r="D21" s="12" t="s">
        <v>50</v>
      </c>
    </row>
    <row r="22" spans="1:4" x14ac:dyDescent="0.2">
      <c r="A22" s="11">
        <v>45089</v>
      </c>
      <c r="B22" s="12" t="s">
        <v>49</v>
      </c>
      <c r="C22" s="12">
        <v>50.38</v>
      </c>
      <c r="D22" s="12" t="s">
        <v>50</v>
      </c>
    </row>
    <row r="23" spans="1:4" x14ac:dyDescent="0.2">
      <c r="A23" s="11">
        <v>45090</v>
      </c>
      <c r="B23" s="12" t="s">
        <v>49</v>
      </c>
      <c r="C23" s="12">
        <v>61.67</v>
      </c>
      <c r="D23" s="12" t="s">
        <v>50</v>
      </c>
    </row>
    <row r="24" spans="1:4" x14ac:dyDescent="0.2">
      <c r="A24" s="11">
        <v>45099</v>
      </c>
      <c r="B24" s="12" t="s">
        <v>49</v>
      </c>
      <c r="C24" s="12">
        <v>60.55</v>
      </c>
      <c r="D24" s="12" t="s">
        <v>50</v>
      </c>
    </row>
    <row r="25" spans="1:4" x14ac:dyDescent="0.2">
      <c r="A25" s="11">
        <v>45107</v>
      </c>
      <c r="B25" s="12" t="s">
        <v>49</v>
      </c>
      <c r="C25" s="12">
        <v>37.68</v>
      </c>
      <c r="D25" s="12" t="s">
        <v>50</v>
      </c>
    </row>
    <row r="26" spans="1:4" x14ac:dyDescent="0.2">
      <c r="A26" s="11">
        <v>45114</v>
      </c>
      <c r="B26" s="12" t="s">
        <v>49</v>
      </c>
      <c r="C26" s="12">
        <v>204.18</v>
      </c>
      <c r="D26" s="12" t="s">
        <v>50</v>
      </c>
    </row>
    <row r="27" spans="1:4" x14ac:dyDescent="0.2">
      <c r="A27" s="11">
        <v>45145</v>
      </c>
      <c r="B27" s="12" t="s">
        <v>49</v>
      </c>
      <c r="C27" s="12">
        <v>60.91</v>
      </c>
      <c r="D27" s="12" t="s">
        <v>50</v>
      </c>
    </row>
    <row r="28" spans="1:4" x14ac:dyDescent="0.2">
      <c r="A28" s="11">
        <v>45145</v>
      </c>
      <c r="B28" s="12" t="s">
        <v>49</v>
      </c>
      <c r="C28" s="12">
        <v>17.760000000000002</v>
      </c>
      <c r="D28" s="12" t="s">
        <v>50</v>
      </c>
    </row>
    <row r="29" spans="1:4" x14ac:dyDescent="0.2">
      <c r="A29" s="11">
        <v>45170</v>
      </c>
      <c r="B29" s="12" t="s">
        <v>49</v>
      </c>
      <c r="C29" s="12">
        <v>110.4</v>
      </c>
      <c r="D29" s="12" t="s">
        <v>50</v>
      </c>
    </row>
    <row r="30" spans="1:4" x14ac:dyDescent="0.2">
      <c r="A30" s="11">
        <v>45247</v>
      </c>
      <c r="B30" s="12" t="s">
        <v>49</v>
      </c>
      <c r="C30" s="12">
        <v>34.979999999999997</v>
      </c>
      <c r="D30" s="12" t="s">
        <v>50</v>
      </c>
    </row>
    <row r="31" spans="1:4" x14ac:dyDescent="0.2">
      <c r="A31" s="11">
        <v>45287</v>
      </c>
      <c r="B31" s="12" t="s">
        <v>49</v>
      </c>
      <c r="C31" s="12">
        <v>21.25</v>
      </c>
      <c r="D31" s="12" t="s">
        <v>50</v>
      </c>
    </row>
    <row r="32" spans="1:4" x14ac:dyDescent="0.2">
      <c r="A32" s="11">
        <v>45297</v>
      </c>
      <c r="B32" s="12" t="s">
        <v>49</v>
      </c>
      <c r="C32" s="12">
        <v>40.909999999999997</v>
      </c>
      <c r="D32" s="12" t="s">
        <v>50</v>
      </c>
    </row>
    <row r="33" spans="1:4" x14ac:dyDescent="0.2">
      <c r="A33" s="11">
        <v>45301</v>
      </c>
      <c r="B33" s="12" t="s">
        <v>49</v>
      </c>
      <c r="C33" s="12">
        <v>64.66</v>
      </c>
      <c r="D33" s="12" t="s">
        <v>50</v>
      </c>
    </row>
    <row r="34" spans="1:4" x14ac:dyDescent="0.2">
      <c r="A34" s="11">
        <v>45370</v>
      </c>
      <c r="B34" s="12" t="s">
        <v>49</v>
      </c>
      <c r="C34" s="12">
        <v>35.94</v>
      </c>
      <c r="D34" s="12" t="s">
        <v>50</v>
      </c>
    </row>
    <row r="35" spans="1:4" x14ac:dyDescent="0.2">
      <c r="A35" s="11">
        <v>45404</v>
      </c>
      <c r="B35" s="12" t="s">
        <v>49</v>
      </c>
      <c r="C35" s="12">
        <v>172.89</v>
      </c>
      <c r="D35" s="12" t="s">
        <v>50</v>
      </c>
    </row>
    <row r="36" spans="1:4" x14ac:dyDescent="0.2">
      <c r="A36" s="11">
        <v>45464</v>
      </c>
      <c r="B36" s="12" t="s">
        <v>49</v>
      </c>
      <c r="C36" s="12">
        <v>246.51</v>
      </c>
      <c r="D36" s="12" t="s">
        <v>50</v>
      </c>
    </row>
    <row r="37" spans="1:4" x14ac:dyDescent="0.2">
      <c r="A37" s="11">
        <v>45478</v>
      </c>
      <c r="B37" s="12" t="s">
        <v>49</v>
      </c>
      <c r="C37" s="12">
        <v>82.87</v>
      </c>
      <c r="D37" s="12" t="s">
        <v>50</v>
      </c>
    </row>
    <row r="38" spans="1:4" x14ac:dyDescent="0.2">
      <c r="A38" s="11">
        <v>45506</v>
      </c>
      <c r="B38" s="12" t="s">
        <v>49</v>
      </c>
      <c r="C38" s="12">
        <v>177.27</v>
      </c>
      <c r="D38" s="12" t="s">
        <v>50</v>
      </c>
    </row>
    <row r="39" spans="1:4" x14ac:dyDescent="0.2">
      <c r="A39" s="11">
        <v>45509</v>
      </c>
      <c r="B39" s="12" t="s">
        <v>49</v>
      </c>
      <c r="C39" s="12">
        <v>117.61</v>
      </c>
      <c r="D39" s="12" t="s">
        <v>50</v>
      </c>
    </row>
    <row r="40" spans="1:4" x14ac:dyDescent="0.2">
      <c r="A40" s="11">
        <v>45520</v>
      </c>
      <c r="B40" s="12" t="s">
        <v>49</v>
      </c>
      <c r="C40" s="12">
        <v>29.29</v>
      </c>
      <c r="D40" s="12" t="s">
        <v>50</v>
      </c>
    </row>
    <row r="41" spans="1:4" x14ac:dyDescent="0.2">
      <c r="A41" s="11">
        <v>45587</v>
      </c>
      <c r="B41" s="12" t="s">
        <v>49</v>
      </c>
      <c r="C41" s="12">
        <v>91.87</v>
      </c>
      <c r="D41" s="12" t="s">
        <v>50</v>
      </c>
    </row>
    <row r="42" spans="1:4" x14ac:dyDescent="0.2">
      <c r="A42" s="11">
        <v>45608</v>
      </c>
      <c r="B42" s="12" t="s">
        <v>49</v>
      </c>
      <c r="C42" s="12">
        <v>57.75</v>
      </c>
      <c r="D42" s="12" t="s">
        <v>50</v>
      </c>
    </row>
    <row r="43" spans="1:4" x14ac:dyDescent="0.2">
      <c r="A43" s="11">
        <v>45643</v>
      </c>
      <c r="B43" s="12" t="s">
        <v>49</v>
      </c>
      <c r="C43" s="12">
        <v>56.41</v>
      </c>
      <c r="D43" s="12" t="s">
        <v>50</v>
      </c>
    </row>
    <row r="44" spans="1:4" x14ac:dyDescent="0.2">
      <c r="A44" s="11">
        <v>45657</v>
      </c>
      <c r="B44" s="12" t="s">
        <v>49</v>
      </c>
      <c r="C44" s="12">
        <v>47.4</v>
      </c>
      <c r="D44" s="12" t="s">
        <v>50</v>
      </c>
    </row>
    <row r="45" spans="1:4" x14ac:dyDescent="0.2">
      <c r="A45" s="11">
        <v>45676</v>
      </c>
      <c r="B45" s="12" t="s">
        <v>49</v>
      </c>
      <c r="C45" s="12">
        <v>83.56</v>
      </c>
      <c r="D45" s="12" t="s">
        <v>50</v>
      </c>
    </row>
    <row r="46" spans="1:4" x14ac:dyDescent="0.2">
      <c r="A46" s="11">
        <v>45691</v>
      </c>
      <c r="B46" s="12" t="s">
        <v>51</v>
      </c>
      <c r="C46" s="12">
        <v>150</v>
      </c>
      <c r="D46" s="12" t="s">
        <v>50</v>
      </c>
    </row>
    <row r="47" spans="1:4" x14ac:dyDescent="0.2">
      <c r="A47" s="11">
        <v>45706</v>
      </c>
      <c r="B47" s="12" t="s">
        <v>49</v>
      </c>
      <c r="C47" s="12">
        <v>83.96</v>
      </c>
      <c r="D47" s="12" t="s">
        <v>50</v>
      </c>
    </row>
    <row r="48" spans="1:4" x14ac:dyDescent="0.2">
      <c r="A48" s="11">
        <v>45727</v>
      </c>
      <c r="B48" s="12" t="s">
        <v>49</v>
      </c>
      <c r="C48" s="12">
        <v>80.900000000000006</v>
      </c>
      <c r="D48" s="12" t="s">
        <v>50</v>
      </c>
    </row>
    <row r="49" spans="1:4" x14ac:dyDescent="0.2">
      <c r="A49" s="11">
        <v>45756</v>
      </c>
      <c r="B49" s="12" t="s">
        <v>49</v>
      </c>
      <c r="C49" s="12">
        <v>78.91</v>
      </c>
      <c r="D49" s="12" t="s">
        <v>50</v>
      </c>
    </row>
    <row r="50" spans="1:4" x14ac:dyDescent="0.2">
      <c r="A50" s="11">
        <v>45788</v>
      </c>
      <c r="B50" s="12" t="s">
        <v>49</v>
      </c>
      <c r="C50" s="12">
        <v>306.33</v>
      </c>
      <c r="D50" s="12" t="s">
        <v>50</v>
      </c>
    </row>
    <row r="51" spans="1:4" x14ac:dyDescent="0.2">
      <c r="A51" s="11">
        <v>45805</v>
      </c>
      <c r="B51" s="12" t="s">
        <v>49</v>
      </c>
      <c r="C51" s="12">
        <v>125.65</v>
      </c>
      <c r="D51" s="12" t="s">
        <v>50</v>
      </c>
    </row>
    <row r="52" spans="1:4" x14ac:dyDescent="0.2">
      <c r="A52" s="11">
        <v>45807</v>
      </c>
      <c r="B52" s="12" t="s">
        <v>55</v>
      </c>
      <c r="C52" s="12">
        <v>0.05</v>
      </c>
      <c r="D52" s="12" t="s">
        <v>50</v>
      </c>
    </row>
    <row r="53" spans="1:4" x14ac:dyDescent="0.2">
      <c r="A53" s="11">
        <v>45838</v>
      </c>
      <c r="B53" s="12" t="s">
        <v>55</v>
      </c>
      <c r="C53" s="12">
        <v>1.43</v>
      </c>
      <c r="D53" s="12" t="s">
        <v>50</v>
      </c>
    </row>
    <row r="54" spans="1:4" x14ac:dyDescent="0.2">
      <c r="A54" s="11">
        <v>45840</v>
      </c>
      <c r="B54" s="12" t="s">
        <v>49</v>
      </c>
      <c r="C54" s="12">
        <v>196.98</v>
      </c>
      <c r="D54" s="12" t="s">
        <v>50</v>
      </c>
    </row>
    <row r="55" spans="1:4" x14ac:dyDescent="0.2">
      <c r="A55" s="11">
        <v>45869</v>
      </c>
      <c r="B55" s="12" t="s">
        <v>55</v>
      </c>
      <c r="C55" s="12">
        <v>2.99</v>
      </c>
      <c r="D55" s="12" t="s">
        <v>50</v>
      </c>
    </row>
    <row r="56" spans="1:4" x14ac:dyDescent="0.2">
      <c r="A56" s="11">
        <v>45879</v>
      </c>
      <c r="B56" s="12" t="s">
        <v>49</v>
      </c>
      <c r="C56" s="12">
        <v>166.74</v>
      </c>
      <c r="D56" s="12" t="s">
        <v>50</v>
      </c>
    </row>
    <row r="57" spans="1:4" x14ac:dyDescent="0.2">
      <c r="A57" s="11">
        <v>45901</v>
      </c>
      <c r="B57" s="12" t="s">
        <v>55</v>
      </c>
      <c r="C57" s="12">
        <v>2.12</v>
      </c>
      <c r="D57" s="12" t="s">
        <v>50</v>
      </c>
    </row>
    <row r="58" spans="1:4" x14ac:dyDescent="0.2">
      <c r="A58" s="11">
        <v>45931</v>
      </c>
      <c r="B58" s="12" t="s">
        <v>55</v>
      </c>
      <c r="C58" s="12">
        <v>0.53</v>
      </c>
      <c r="D58" s="12" t="s">
        <v>50</v>
      </c>
    </row>
    <row r="59" spans="1:4" x14ac:dyDescent="0.2">
      <c r="A59" s="11">
        <v>45938</v>
      </c>
      <c r="B59" s="12" t="s">
        <v>49</v>
      </c>
      <c r="C59" s="12">
        <v>355.99</v>
      </c>
      <c r="D59" s="12" t="s">
        <v>50</v>
      </c>
    </row>
    <row r="60" spans="1:4" x14ac:dyDescent="0.2">
      <c r="A60" s="11">
        <v>45962</v>
      </c>
      <c r="B60" s="12" t="s">
        <v>55</v>
      </c>
      <c r="C60" s="12">
        <v>0.2</v>
      </c>
      <c r="D60" s="12" t="s">
        <v>50</v>
      </c>
    </row>
    <row r="61" spans="1:4" x14ac:dyDescent="0.2">
      <c r="A61" s="11">
        <v>45980</v>
      </c>
      <c r="B61" s="12" t="s">
        <v>49</v>
      </c>
      <c r="C61" s="12">
        <v>357.25</v>
      </c>
      <c r="D61" s="12" t="s">
        <v>50</v>
      </c>
    </row>
    <row r="62" spans="1:4" x14ac:dyDescent="0.2">
      <c r="A62" s="11">
        <v>45980</v>
      </c>
      <c r="B62" s="12" t="s">
        <v>51</v>
      </c>
      <c r="C62" s="12">
        <v>150</v>
      </c>
      <c r="D62" s="12" t="s">
        <v>50</v>
      </c>
    </row>
    <row r="63" spans="1:4" x14ac:dyDescent="0.2">
      <c r="A63" s="11">
        <v>45986</v>
      </c>
      <c r="B63" s="12" t="s">
        <v>51</v>
      </c>
      <c r="C63" s="12">
        <v>49.62</v>
      </c>
      <c r="D63" s="12" t="s">
        <v>50</v>
      </c>
    </row>
    <row r="64" spans="1:4" x14ac:dyDescent="0.2">
      <c r="A64" s="11">
        <v>45990</v>
      </c>
      <c r="B64" s="12" t="s">
        <v>55</v>
      </c>
      <c r="C64" s="12">
        <v>0.05</v>
      </c>
      <c r="D64" s="12" t="s">
        <v>50</v>
      </c>
    </row>
    <row r="65" spans="1:4" x14ac:dyDescent="0.2">
      <c r="A65" s="11">
        <v>46008</v>
      </c>
      <c r="B65" s="12" t="s">
        <v>49</v>
      </c>
      <c r="C65" s="12">
        <v>131.41999999999999</v>
      </c>
      <c r="D65" s="12" t="s">
        <v>50</v>
      </c>
    </row>
    <row r="66" spans="1:4" x14ac:dyDescent="0.2">
      <c r="A66" s="11">
        <v>46023</v>
      </c>
      <c r="B66" s="12" t="s">
        <v>55</v>
      </c>
      <c r="C66" s="12">
        <v>0.16</v>
      </c>
      <c r="D66" s="12" t="s">
        <v>50</v>
      </c>
    </row>
    <row r="67" spans="1:4" x14ac:dyDescent="0.2">
      <c r="A67" s="11">
        <v>46043</v>
      </c>
      <c r="B67" s="12" t="s">
        <v>49</v>
      </c>
      <c r="C67" s="12">
        <v>116.2</v>
      </c>
      <c r="D67" s="12" t="s">
        <v>50</v>
      </c>
    </row>
    <row r="68" spans="1:4" x14ac:dyDescent="0.2">
      <c r="A68" s="11">
        <v>46045</v>
      </c>
      <c r="B68" s="12" t="s">
        <v>49</v>
      </c>
      <c r="C68" s="12">
        <v>262.45</v>
      </c>
      <c r="D68" s="12" t="s">
        <v>50</v>
      </c>
    </row>
    <row r="69" spans="1:4" x14ac:dyDescent="0.2">
      <c r="A69" s="11">
        <v>46053</v>
      </c>
      <c r="B69" s="12" t="s">
        <v>55</v>
      </c>
      <c r="C69" s="12">
        <v>0.15</v>
      </c>
      <c r="D69" s="12" t="s">
        <v>50</v>
      </c>
    </row>
    <row r="70" spans="1:4" x14ac:dyDescent="0.2">
      <c r="A70" s="11">
        <v>46057</v>
      </c>
      <c r="B70" s="12" t="s">
        <v>49</v>
      </c>
      <c r="C70" s="12">
        <v>45.52</v>
      </c>
      <c r="D70" s="12" t="s">
        <v>50</v>
      </c>
    </row>
    <row r="71" spans="1:4" x14ac:dyDescent="0.2">
      <c r="A71" s="11">
        <v>46081</v>
      </c>
      <c r="B71" s="12" t="s">
        <v>55</v>
      </c>
      <c r="C71" s="16">
        <v>0.03</v>
      </c>
      <c r="D71" s="12" t="s">
        <v>50</v>
      </c>
    </row>
    <row r="72" spans="1:4" x14ac:dyDescent="0.2">
      <c r="A72" s="11">
        <v>46100</v>
      </c>
      <c r="B72" s="12" t="s">
        <v>49</v>
      </c>
      <c r="C72" s="12">
        <v>178.75</v>
      </c>
      <c r="D72" s="12" t="s">
        <v>50</v>
      </c>
    </row>
    <row r="73" spans="1:4" x14ac:dyDescent="0.2">
      <c r="A73" s="11">
        <v>46104</v>
      </c>
      <c r="B73" s="12" t="s">
        <v>51</v>
      </c>
      <c r="C73" s="12">
        <v>500</v>
      </c>
      <c r="D73" s="12" t="s">
        <v>50</v>
      </c>
    </row>
    <row r="74" spans="1:4" x14ac:dyDescent="0.2">
      <c r="A74" s="11">
        <v>46112</v>
      </c>
      <c r="B74" s="12" t="s">
        <v>55</v>
      </c>
      <c r="C74" s="12">
        <v>0.32</v>
      </c>
      <c r="D74" s="12" t="s">
        <v>50</v>
      </c>
    </row>
    <row r="75" spans="1:4" x14ac:dyDescent="0.2">
      <c r="A75" s="11">
        <v>46135</v>
      </c>
      <c r="B75" s="12" t="s">
        <v>49</v>
      </c>
      <c r="C75" s="12">
        <v>638.71</v>
      </c>
      <c r="D75" s="12" t="s">
        <v>50</v>
      </c>
    </row>
    <row r="76" spans="1:4" x14ac:dyDescent="0.2">
      <c r="A76" s="11">
        <v>46143</v>
      </c>
      <c r="B76" s="12" t="s">
        <v>55</v>
      </c>
      <c r="C76" s="12">
        <v>0.73</v>
      </c>
      <c r="D76" s="12" t="s">
        <v>50</v>
      </c>
    </row>
    <row r="77" spans="1:4" x14ac:dyDescent="0.2">
      <c r="A77" s="11">
        <v>46171</v>
      </c>
      <c r="B77" s="12" t="s">
        <v>55</v>
      </c>
      <c r="C77" s="12">
        <v>1.66</v>
      </c>
      <c r="D77" s="12" t="s">
        <v>50</v>
      </c>
    </row>
    <row r="78" spans="1:4" x14ac:dyDescent="0.2">
      <c r="A78" s="11">
        <v>46175</v>
      </c>
      <c r="B78" s="12" t="s">
        <v>49</v>
      </c>
      <c r="C78" s="12">
        <v>305.56</v>
      </c>
      <c r="D78" s="12" t="s">
        <v>50</v>
      </c>
    </row>
    <row r="79" spans="1:4" x14ac:dyDescent="0.2">
      <c r="A79" s="11">
        <v>46175</v>
      </c>
      <c r="B79" s="12" t="s">
        <v>49</v>
      </c>
      <c r="C79" s="12">
        <v>97.07</v>
      </c>
      <c r="D79" s="12" t="s">
        <v>50</v>
      </c>
    </row>
    <row r="80" spans="1:4" x14ac:dyDescent="0.2">
      <c r="A80" s="11">
        <v>46203</v>
      </c>
      <c r="B80" s="12" t="s">
        <v>55</v>
      </c>
      <c r="C80" s="12">
        <v>2.0699999999999998</v>
      </c>
      <c r="D80" s="12" t="s">
        <v>50</v>
      </c>
    </row>
    <row r="81" spans="1:4" x14ac:dyDescent="0.2">
      <c r="A81" s="11">
        <v>46216</v>
      </c>
      <c r="B81" s="12" t="s">
        <v>51</v>
      </c>
      <c r="C81" s="12">
        <v>214.79</v>
      </c>
      <c r="D81" s="12" t="s">
        <v>50</v>
      </c>
    </row>
    <row r="82" spans="1:4" x14ac:dyDescent="0.2">
      <c r="A82" s="11">
        <v>46235</v>
      </c>
      <c r="B82" s="12" t="s">
        <v>55</v>
      </c>
      <c r="C82" s="12">
        <v>1.55</v>
      </c>
      <c r="D82" s="12" t="s">
        <v>50</v>
      </c>
    </row>
    <row r="83" spans="1:4" x14ac:dyDescent="0.2">
      <c r="A83" s="11">
        <v>46241</v>
      </c>
      <c r="B83" s="12" t="s">
        <v>49</v>
      </c>
      <c r="C83" s="12">
        <v>350</v>
      </c>
      <c r="D83" s="12" t="s">
        <v>50</v>
      </c>
    </row>
    <row r="84" spans="1:4" x14ac:dyDescent="0.2">
      <c r="A84" s="11">
        <v>46265</v>
      </c>
      <c r="B84" s="12" t="s">
        <v>55</v>
      </c>
      <c r="C84" s="12">
        <v>1.33</v>
      </c>
      <c r="D84" s="12" t="s">
        <v>50</v>
      </c>
    </row>
    <row r="85" spans="1:4" x14ac:dyDescent="0.2">
      <c r="A85" s="11">
        <v>46295</v>
      </c>
      <c r="B85" s="12" t="s">
        <v>49</v>
      </c>
      <c r="C85" s="12">
        <v>404.42</v>
      </c>
      <c r="D85" s="12" t="s">
        <v>50</v>
      </c>
    </row>
    <row r="86" spans="1:4" x14ac:dyDescent="0.2">
      <c r="A86" s="11">
        <v>46309</v>
      </c>
      <c r="B86" s="12" t="s">
        <v>49</v>
      </c>
      <c r="C86" s="12">
        <v>80.290000000000006</v>
      </c>
      <c r="D86" s="12" t="s">
        <v>50</v>
      </c>
    </row>
    <row r="87" spans="1:4" x14ac:dyDescent="0.2">
      <c r="A87" s="11"/>
    </row>
    <row r="88" spans="1:4" x14ac:dyDescent="0.2">
      <c r="A88" s="11"/>
    </row>
    <row r="89" spans="1:4" x14ac:dyDescent="0.2">
      <c r="A89" s="11"/>
    </row>
    <row r="90" spans="1:4" x14ac:dyDescent="0.2">
      <c r="A90" s="11"/>
    </row>
    <row r="91" spans="1:4" x14ac:dyDescent="0.2">
      <c r="A91" s="11"/>
    </row>
    <row r="92" spans="1:4" x14ac:dyDescent="0.2">
      <c r="A92" s="11"/>
    </row>
    <row r="93" spans="1:4" x14ac:dyDescent="0.2">
      <c r="A93" s="11"/>
    </row>
    <row r="94" spans="1:4" x14ac:dyDescent="0.2">
      <c r="A94" s="11"/>
    </row>
    <row r="95" spans="1:4" x14ac:dyDescent="0.2">
      <c r="A95" s="11"/>
    </row>
    <row r="96" spans="1:4" x14ac:dyDescent="0.2">
      <c r="A96" s="11"/>
    </row>
    <row r="97" spans="1:1" x14ac:dyDescent="0.2">
      <c r="A97" s="11"/>
    </row>
    <row r="98" spans="1:1" x14ac:dyDescent="0.2">
      <c r="A98" s="11"/>
    </row>
    <row r="99" spans="1:1" x14ac:dyDescent="0.2">
      <c r="A99" s="11"/>
    </row>
    <row r="100" spans="1:1" x14ac:dyDescent="0.2">
      <c r="A100" s="11"/>
    </row>
    <row r="101" spans="1:1" x14ac:dyDescent="0.2">
      <c r="A101" s="11"/>
    </row>
    <row r="102" spans="1:1" x14ac:dyDescent="0.2">
      <c r="A102" s="11"/>
    </row>
    <row r="103" spans="1:1" x14ac:dyDescent="0.2">
      <c r="A103" s="11"/>
    </row>
    <row r="104" spans="1:1" x14ac:dyDescent="0.2">
      <c r="A104" s="11"/>
    </row>
  </sheetData>
  <autoFilter ref="A1:D83" xr:uid="{C6A28250-3877-2B49-B305-738A1D8881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5D3A-4A21-A24A-8B95-C7E18461D196}">
  <dimension ref="A1:D126"/>
  <sheetViews>
    <sheetView zoomScale="143" workbookViewId="0">
      <selection activeCell="D2" sqref="D2:D126"/>
    </sheetView>
  </sheetViews>
  <sheetFormatPr baseColWidth="10" defaultRowHeight="16" x14ac:dyDescent="0.2"/>
  <sheetData>
    <row r="1" spans="1:4" x14ac:dyDescent="0.2">
      <c r="A1" s="14" t="s">
        <v>1</v>
      </c>
      <c r="B1" s="14" t="s">
        <v>0</v>
      </c>
      <c r="C1" s="14" t="s">
        <v>47</v>
      </c>
      <c r="D1" s="14" t="s">
        <v>48</v>
      </c>
    </row>
    <row r="2" spans="1:4" x14ac:dyDescent="0.2">
      <c r="A2" s="11">
        <v>44799</v>
      </c>
      <c r="B2" t="s">
        <v>11</v>
      </c>
      <c r="C2" s="12">
        <v>0.06</v>
      </c>
      <c r="D2" s="12" t="s">
        <v>50</v>
      </c>
    </row>
    <row r="3" spans="1:4" x14ac:dyDescent="0.2">
      <c r="A3" s="11">
        <v>44813</v>
      </c>
      <c r="B3" t="s">
        <v>10</v>
      </c>
      <c r="C3" s="12">
        <v>0.06</v>
      </c>
      <c r="D3" s="12" t="s">
        <v>50</v>
      </c>
    </row>
    <row r="4" spans="1:4" x14ac:dyDescent="0.2">
      <c r="A4" s="11">
        <v>44875</v>
      </c>
      <c r="B4" t="s">
        <v>14</v>
      </c>
      <c r="C4" s="12">
        <v>0.09</v>
      </c>
      <c r="D4" s="12" t="s">
        <v>50</v>
      </c>
    </row>
    <row r="5" spans="1:4" x14ac:dyDescent="0.2">
      <c r="A5" s="11">
        <v>44890</v>
      </c>
      <c r="B5" t="s">
        <v>11</v>
      </c>
      <c r="C5" s="12">
        <v>0.06</v>
      </c>
      <c r="D5" s="12" t="s">
        <v>50</v>
      </c>
    </row>
    <row r="6" spans="1:4" x14ac:dyDescent="0.2">
      <c r="A6" s="11">
        <v>44903</v>
      </c>
      <c r="B6" t="s">
        <v>17</v>
      </c>
      <c r="C6" s="12">
        <v>0.01</v>
      </c>
      <c r="D6" s="12" t="s">
        <v>50</v>
      </c>
    </row>
    <row r="7" spans="1:4" x14ac:dyDescent="0.2">
      <c r="A7" s="11">
        <v>44904</v>
      </c>
      <c r="B7" t="s">
        <v>10</v>
      </c>
      <c r="C7" s="12">
        <v>0.06</v>
      </c>
      <c r="D7" s="12" t="s">
        <v>50</v>
      </c>
    </row>
    <row r="8" spans="1:4" x14ac:dyDescent="0.2">
      <c r="A8" s="11">
        <v>44910</v>
      </c>
      <c r="B8" t="s">
        <v>16</v>
      </c>
      <c r="C8" s="12">
        <v>0.08</v>
      </c>
      <c r="D8" s="12" t="s">
        <v>50</v>
      </c>
    </row>
    <row r="9" spans="1:4" x14ac:dyDescent="0.2">
      <c r="A9" s="11">
        <v>44973</v>
      </c>
      <c r="B9" t="s">
        <v>14</v>
      </c>
      <c r="C9" s="12">
        <v>0.09</v>
      </c>
      <c r="D9" s="12" t="s">
        <v>50</v>
      </c>
    </row>
    <row r="10" spans="1:4" x14ac:dyDescent="0.2">
      <c r="A10" s="11">
        <v>44981</v>
      </c>
      <c r="B10" t="s">
        <v>11</v>
      </c>
      <c r="C10" s="12">
        <v>0.06</v>
      </c>
      <c r="D10" s="12" t="s">
        <v>50</v>
      </c>
    </row>
    <row r="11" spans="1:4" x14ac:dyDescent="0.2">
      <c r="A11" s="11">
        <v>44994</v>
      </c>
      <c r="B11" t="s">
        <v>17</v>
      </c>
      <c r="C11" s="12">
        <v>0.01</v>
      </c>
      <c r="D11" s="12" t="s">
        <v>50</v>
      </c>
    </row>
    <row r="12" spans="1:4" x14ac:dyDescent="0.2">
      <c r="A12" s="11">
        <v>44995</v>
      </c>
      <c r="B12" t="s">
        <v>10</v>
      </c>
      <c r="C12" s="12">
        <v>0.06</v>
      </c>
      <c r="D12" s="12" t="s">
        <v>50</v>
      </c>
    </row>
    <row r="13" spans="1:4" x14ac:dyDescent="0.2">
      <c r="A13" s="11">
        <v>45000</v>
      </c>
      <c r="B13" t="s">
        <v>16</v>
      </c>
      <c r="C13" s="12">
        <v>0.08</v>
      </c>
      <c r="D13" s="12" t="s">
        <v>50</v>
      </c>
    </row>
    <row r="14" spans="1:4" x14ac:dyDescent="0.2">
      <c r="A14" s="11">
        <v>45029</v>
      </c>
      <c r="B14" t="s">
        <v>18</v>
      </c>
      <c r="C14" s="12">
        <v>0.13</v>
      </c>
      <c r="D14" s="12" t="s">
        <v>50</v>
      </c>
    </row>
    <row r="15" spans="1:4" x14ac:dyDescent="0.2">
      <c r="A15" s="11">
        <v>45064</v>
      </c>
      <c r="B15" t="s">
        <v>14</v>
      </c>
      <c r="C15" s="12">
        <v>0.21</v>
      </c>
      <c r="D15" s="12" t="s">
        <v>50</v>
      </c>
    </row>
    <row r="16" spans="1:4" x14ac:dyDescent="0.2">
      <c r="A16" s="11">
        <v>45072</v>
      </c>
      <c r="B16" t="s">
        <v>11</v>
      </c>
      <c r="C16" s="12">
        <v>0.06</v>
      </c>
      <c r="D16" s="12" t="s">
        <v>50</v>
      </c>
    </row>
    <row r="17" spans="1:4" x14ac:dyDescent="0.2">
      <c r="A17" s="11">
        <v>45085</v>
      </c>
      <c r="B17" t="s">
        <v>17</v>
      </c>
      <c r="C17" s="12">
        <v>0.13</v>
      </c>
      <c r="D17" s="12" t="s">
        <v>50</v>
      </c>
    </row>
    <row r="18" spans="1:4" x14ac:dyDescent="0.2">
      <c r="A18" s="11">
        <v>45086</v>
      </c>
      <c r="B18" t="s">
        <v>10</v>
      </c>
      <c r="C18" s="12">
        <v>0.06</v>
      </c>
      <c r="D18" s="12" t="s">
        <v>50</v>
      </c>
    </row>
    <row r="19" spans="1:4" x14ac:dyDescent="0.2">
      <c r="A19" s="11">
        <v>45097</v>
      </c>
      <c r="B19" t="s">
        <v>16</v>
      </c>
      <c r="C19" s="12">
        <v>0.08</v>
      </c>
      <c r="D19" s="12" t="s">
        <v>50</v>
      </c>
    </row>
    <row r="20" spans="1:4" x14ac:dyDescent="0.2">
      <c r="A20" s="11">
        <v>45120</v>
      </c>
      <c r="B20" t="s">
        <v>18</v>
      </c>
      <c r="C20" s="12">
        <v>0.13</v>
      </c>
      <c r="D20" s="12" t="s">
        <v>50</v>
      </c>
    </row>
    <row r="21" spans="1:4" x14ac:dyDescent="0.2">
      <c r="A21" s="11">
        <v>45155</v>
      </c>
      <c r="B21" t="s">
        <v>14</v>
      </c>
      <c r="C21" s="12">
        <v>0.41</v>
      </c>
      <c r="D21" s="12" t="s">
        <v>50</v>
      </c>
    </row>
    <row r="22" spans="1:4" x14ac:dyDescent="0.2">
      <c r="A22" s="11">
        <v>45163</v>
      </c>
      <c r="B22" t="s">
        <v>11</v>
      </c>
      <c r="C22" s="12">
        <v>0.52</v>
      </c>
      <c r="D22" s="12" t="s">
        <v>50</v>
      </c>
    </row>
    <row r="23" spans="1:4" x14ac:dyDescent="0.2">
      <c r="A23" s="7">
        <v>45180</v>
      </c>
      <c r="B23" t="s">
        <v>10</v>
      </c>
      <c r="C23" s="12">
        <v>0.06</v>
      </c>
      <c r="D23" s="12" t="s">
        <v>50</v>
      </c>
    </row>
    <row r="24" spans="1:4" x14ac:dyDescent="0.2">
      <c r="A24" s="7">
        <v>45183</v>
      </c>
      <c r="B24" t="s">
        <v>17</v>
      </c>
      <c r="C24" s="12">
        <v>0.23</v>
      </c>
      <c r="D24" s="12" t="s">
        <v>50</v>
      </c>
    </row>
    <row r="25" spans="1:4" x14ac:dyDescent="0.2">
      <c r="A25" s="7">
        <v>45184</v>
      </c>
      <c r="B25" t="s">
        <v>23</v>
      </c>
      <c r="C25" s="12">
        <v>0.09</v>
      </c>
      <c r="D25" s="12" t="s">
        <v>50</v>
      </c>
    </row>
    <row r="26" spans="1:4" x14ac:dyDescent="0.2">
      <c r="A26" s="7">
        <v>45187</v>
      </c>
      <c r="B26" t="s">
        <v>16</v>
      </c>
      <c r="C26" s="12">
        <v>0.08</v>
      </c>
      <c r="D26" s="12" t="s">
        <v>50</v>
      </c>
    </row>
    <row r="27" spans="1:4" x14ac:dyDescent="0.2">
      <c r="A27" s="7">
        <v>45197</v>
      </c>
      <c r="B27" t="s">
        <v>9</v>
      </c>
      <c r="C27" s="12">
        <v>0.01</v>
      </c>
      <c r="D27" s="12" t="s">
        <v>50</v>
      </c>
    </row>
    <row r="28" spans="1:4" x14ac:dyDescent="0.2">
      <c r="A28" s="7">
        <v>45211</v>
      </c>
      <c r="B28" t="s">
        <v>18</v>
      </c>
      <c r="C28" s="12">
        <v>0.14000000000000001</v>
      </c>
      <c r="D28" s="12" t="s">
        <v>50</v>
      </c>
    </row>
    <row r="29" spans="1:4" x14ac:dyDescent="0.2">
      <c r="A29" s="7">
        <v>45246</v>
      </c>
      <c r="B29" t="s">
        <v>14</v>
      </c>
      <c r="C29" s="12">
        <v>0.41</v>
      </c>
      <c r="D29" s="12" t="s">
        <v>50</v>
      </c>
    </row>
    <row r="30" spans="1:4" x14ac:dyDescent="0.2">
      <c r="A30" s="7">
        <v>45254</v>
      </c>
      <c r="B30" t="s">
        <v>11</v>
      </c>
      <c r="C30" s="12">
        <v>1.07</v>
      </c>
      <c r="D30" s="12" t="s">
        <v>50</v>
      </c>
    </row>
    <row r="31" spans="1:4" x14ac:dyDescent="0.2">
      <c r="A31" s="7">
        <v>45271</v>
      </c>
      <c r="B31" t="s">
        <v>10</v>
      </c>
      <c r="C31" s="12">
        <v>7.0000000000000007E-2</v>
      </c>
      <c r="D31" s="12" t="s">
        <v>50</v>
      </c>
    </row>
    <row r="32" spans="1:4" x14ac:dyDescent="0.2">
      <c r="A32" s="7">
        <v>45274</v>
      </c>
      <c r="B32" t="s">
        <v>17</v>
      </c>
      <c r="C32" s="12">
        <v>0.25</v>
      </c>
      <c r="D32" s="12" t="s">
        <v>50</v>
      </c>
    </row>
    <row r="33" spans="1:4" x14ac:dyDescent="0.2">
      <c r="A33" s="7">
        <v>45275</v>
      </c>
      <c r="B33" t="s">
        <v>23</v>
      </c>
      <c r="C33" s="12">
        <v>0.09</v>
      </c>
      <c r="D33" s="12" t="s">
        <v>50</v>
      </c>
    </row>
    <row r="34" spans="1:4" x14ac:dyDescent="0.2">
      <c r="A34" s="7">
        <v>45275</v>
      </c>
      <c r="B34" t="s">
        <v>16</v>
      </c>
      <c r="C34" s="12">
        <v>0.09</v>
      </c>
      <c r="D34" s="12" t="s">
        <v>50</v>
      </c>
    </row>
    <row r="35" spans="1:4" x14ac:dyDescent="0.2">
      <c r="A35" s="7">
        <v>45288</v>
      </c>
      <c r="B35" t="s">
        <v>9</v>
      </c>
      <c r="C35" s="12">
        <v>0.01</v>
      </c>
      <c r="D35" s="12" t="s">
        <v>50</v>
      </c>
    </row>
    <row r="36" spans="1:4" x14ac:dyDescent="0.2">
      <c r="A36" s="7">
        <v>45302</v>
      </c>
      <c r="B36" t="s">
        <v>18</v>
      </c>
      <c r="C36" s="12">
        <v>0.14000000000000001</v>
      </c>
      <c r="D36" s="12" t="s">
        <v>50</v>
      </c>
    </row>
    <row r="37" spans="1:4" x14ac:dyDescent="0.2">
      <c r="A37" s="7">
        <v>45337</v>
      </c>
      <c r="B37" t="s">
        <v>14</v>
      </c>
      <c r="C37" s="12">
        <v>0.41</v>
      </c>
      <c r="D37" s="12" t="s">
        <v>50</v>
      </c>
    </row>
    <row r="38" spans="1:4" x14ac:dyDescent="0.2">
      <c r="A38" s="7">
        <v>45345</v>
      </c>
      <c r="B38" t="s">
        <v>11</v>
      </c>
      <c r="C38" s="12">
        <v>1.26</v>
      </c>
      <c r="D38" s="12" t="s">
        <v>50</v>
      </c>
    </row>
    <row r="39" spans="1:4" x14ac:dyDescent="0.2">
      <c r="A39" s="7">
        <v>45362</v>
      </c>
      <c r="B39" t="s">
        <v>10</v>
      </c>
      <c r="C39" s="12">
        <v>7.0000000000000007E-2</v>
      </c>
      <c r="D39" s="12" t="s">
        <v>50</v>
      </c>
    </row>
    <row r="40" spans="1:4" x14ac:dyDescent="0.2">
      <c r="A40" s="7">
        <v>45365</v>
      </c>
      <c r="B40" t="s">
        <v>17</v>
      </c>
      <c r="C40" s="12">
        <v>0.25</v>
      </c>
      <c r="D40" s="12" t="s">
        <v>50</v>
      </c>
    </row>
    <row r="41" spans="1:4" x14ac:dyDescent="0.2">
      <c r="A41" s="7">
        <v>45366</v>
      </c>
      <c r="B41" t="s">
        <v>23</v>
      </c>
      <c r="C41" s="12">
        <v>0.11</v>
      </c>
      <c r="D41" s="12" t="s">
        <v>50</v>
      </c>
    </row>
    <row r="42" spans="1:4" x14ac:dyDescent="0.2">
      <c r="A42" s="7">
        <v>45366</v>
      </c>
      <c r="B42" t="s">
        <v>16</v>
      </c>
      <c r="C42" s="12">
        <v>0.09</v>
      </c>
      <c r="D42" s="12" t="s">
        <v>50</v>
      </c>
    </row>
    <row r="43" spans="1:4" x14ac:dyDescent="0.2">
      <c r="A43" s="7">
        <v>45378</v>
      </c>
      <c r="B43" t="s">
        <v>9</v>
      </c>
      <c r="C43" s="12">
        <v>0.01</v>
      </c>
      <c r="D43" s="12" t="s">
        <v>50</v>
      </c>
    </row>
    <row r="44" spans="1:4" x14ac:dyDescent="0.2">
      <c r="A44" s="7">
        <v>45393</v>
      </c>
      <c r="B44" t="s">
        <v>18</v>
      </c>
      <c r="C44" s="12">
        <v>0.16</v>
      </c>
      <c r="D44" s="12" t="s">
        <v>50</v>
      </c>
    </row>
    <row r="45" spans="1:4" x14ac:dyDescent="0.2">
      <c r="A45" s="7">
        <v>45428</v>
      </c>
      <c r="B45" t="s">
        <v>14</v>
      </c>
      <c r="C45" s="12">
        <v>0.43</v>
      </c>
      <c r="D45" s="12" t="s">
        <v>50</v>
      </c>
    </row>
    <row r="46" spans="1:4" x14ac:dyDescent="0.2">
      <c r="A46" s="7">
        <v>45446</v>
      </c>
      <c r="B46" t="s">
        <v>11</v>
      </c>
      <c r="C46" s="12">
        <v>1.76</v>
      </c>
      <c r="D46" s="12" t="s">
        <v>50</v>
      </c>
    </row>
    <row r="47" spans="1:4" x14ac:dyDescent="0.2">
      <c r="A47" s="7">
        <v>45456</v>
      </c>
      <c r="B47" t="s">
        <v>17</v>
      </c>
      <c r="C47" s="12">
        <v>0.34</v>
      </c>
      <c r="D47" s="12" t="s">
        <v>50</v>
      </c>
    </row>
    <row r="48" spans="1:4" x14ac:dyDescent="0.2">
      <c r="A48" s="7">
        <v>45460</v>
      </c>
      <c r="B48" t="s">
        <v>16</v>
      </c>
      <c r="C48" s="12">
        <v>0.09</v>
      </c>
      <c r="D48" s="12" t="s">
        <v>50</v>
      </c>
    </row>
    <row r="49" spans="1:4" x14ac:dyDescent="0.2">
      <c r="A49" s="7">
        <v>45460</v>
      </c>
      <c r="B49" t="s">
        <v>15</v>
      </c>
      <c r="C49" s="12">
        <v>0.18</v>
      </c>
      <c r="D49" s="12" t="s">
        <v>50</v>
      </c>
    </row>
    <row r="50" spans="1:4" x14ac:dyDescent="0.2">
      <c r="A50" s="7">
        <v>45471</v>
      </c>
      <c r="B50" t="s">
        <v>9</v>
      </c>
      <c r="C50" s="12">
        <v>0.02</v>
      </c>
      <c r="D50" s="12" t="s">
        <v>50</v>
      </c>
    </row>
    <row r="51" spans="1:4" x14ac:dyDescent="0.2">
      <c r="A51" s="7">
        <v>45484</v>
      </c>
      <c r="B51" t="s">
        <v>18</v>
      </c>
      <c r="C51" s="12">
        <v>0.16</v>
      </c>
      <c r="D51" s="12" t="s">
        <v>50</v>
      </c>
    </row>
    <row r="52" spans="1:4" x14ac:dyDescent="0.2">
      <c r="A52" s="7">
        <v>45519</v>
      </c>
      <c r="B52" t="s">
        <v>14</v>
      </c>
      <c r="C52" s="12">
        <v>0.43</v>
      </c>
      <c r="D52" s="12" t="s">
        <v>50</v>
      </c>
    </row>
    <row r="53" spans="1:4" x14ac:dyDescent="0.2">
      <c r="A53" s="7">
        <v>45534</v>
      </c>
      <c r="B53" t="s">
        <v>11</v>
      </c>
      <c r="C53" s="12">
        <v>1.76</v>
      </c>
      <c r="D53" s="12" t="s">
        <v>50</v>
      </c>
    </row>
    <row r="54" spans="1:4" x14ac:dyDescent="0.2">
      <c r="A54" s="7">
        <v>45547</v>
      </c>
      <c r="B54" t="s">
        <v>17</v>
      </c>
      <c r="C54" s="12">
        <v>0.47</v>
      </c>
      <c r="D54" s="12" t="s">
        <v>50</v>
      </c>
    </row>
    <row r="55" spans="1:4" x14ac:dyDescent="0.2">
      <c r="A55" s="7">
        <v>45551</v>
      </c>
      <c r="B55" t="s">
        <v>15</v>
      </c>
      <c r="C55" s="12">
        <v>0.18</v>
      </c>
      <c r="D55" s="12" t="s">
        <v>50</v>
      </c>
    </row>
    <row r="56" spans="1:4" x14ac:dyDescent="0.2">
      <c r="A56" s="7">
        <v>45552</v>
      </c>
      <c r="B56" t="s">
        <v>16</v>
      </c>
      <c r="C56" s="12">
        <v>0.09</v>
      </c>
      <c r="D56" s="12" t="s">
        <v>50</v>
      </c>
    </row>
    <row r="57" spans="1:4" x14ac:dyDescent="0.2">
      <c r="A57" s="7">
        <v>45568</v>
      </c>
      <c r="B57" t="s">
        <v>9</v>
      </c>
      <c r="C57" s="12">
        <v>0.04</v>
      </c>
      <c r="D57" s="12" t="s">
        <v>50</v>
      </c>
    </row>
    <row r="58" spans="1:4" x14ac:dyDescent="0.2">
      <c r="A58" s="7">
        <v>45574</v>
      </c>
      <c r="B58" t="s">
        <v>18</v>
      </c>
      <c r="C58" s="12">
        <v>0.19</v>
      </c>
      <c r="D58" s="12" t="s">
        <v>50</v>
      </c>
    </row>
    <row r="59" spans="1:4" x14ac:dyDescent="0.2">
      <c r="A59" s="7">
        <v>45610</v>
      </c>
      <c r="B59" t="s">
        <v>14</v>
      </c>
      <c r="C59" s="12">
        <v>0.43</v>
      </c>
      <c r="D59" s="12" t="s">
        <v>50</v>
      </c>
    </row>
    <row r="60" spans="1:4" x14ac:dyDescent="0.2">
      <c r="A60" s="7">
        <v>45625</v>
      </c>
      <c r="B60" t="s">
        <v>11</v>
      </c>
      <c r="C60" s="12">
        <v>1.89</v>
      </c>
      <c r="D60" s="12" t="s">
        <v>50</v>
      </c>
    </row>
    <row r="61" spans="1:4" x14ac:dyDescent="0.2">
      <c r="A61" s="7">
        <v>45638</v>
      </c>
      <c r="B61" t="s">
        <v>17</v>
      </c>
      <c r="C61" s="12">
        <v>0.52</v>
      </c>
      <c r="D61" s="12" t="s">
        <v>50</v>
      </c>
    </row>
    <row r="62" spans="1:4" x14ac:dyDescent="0.2">
      <c r="A62" s="7">
        <v>45642</v>
      </c>
      <c r="B62" t="s">
        <v>15</v>
      </c>
      <c r="C62" s="12">
        <v>0.18</v>
      </c>
      <c r="D62" s="12" t="s">
        <v>50</v>
      </c>
    </row>
    <row r="63" spans="1:4" x14ac:dyDescent="0.2">
      <c r="A63" s="7">
        <v>45642</v>
      </c>
      <c r="B63" t="s">
        <v>16</v>
      </c>
      <c r="C63" s="12">
        <v>0.1</v>
      </c>
      <c r="D63" s="12" t="s">
        <v>50</v>
      </c>
    </row>
    <row r="64" spans="1:4" x14ac:dyDescent="0.2">
      <c r="A64" s="7">
        <v>45653</v>
      </c>
      <c r="B64" t="s">
        <v>9</v>
      </c>
      <c r="C64" s="12">
        <v>0.04</v>
      </c>
      <c r="D64" s="12" t="s">
        <v>50</v>
      </c>
    </row>
    <row r="65" spans="1:4" x14ac:dyDescent="0.2">
      <c r="A65" s="7">
        <v>45666</v>
      </c>
      <c r="B65" t="s">
        <v>18</v>
      </c>
      <c r="C65" s="12">
        <v>0.18</v>
      </c>
      <c r="D65" s="12" t="s">
        <v>50</v>
      </c>
    </row>
    <row r="66" spans="1:4" x14ac:dyDescent="0.2">
      <c r="A66" s="7">
        <v>45674</v>
      </c>
      <c r="B66" t="s">
        <v>27</v>
      </c>
      <c r="C66" s="12">
        <v>0.03</v>
      </c>
      <c r="D66" s="12" t="s">
        <v>50</v>
      </c>
    </row>
    <row r="67" spans="1:4" x14ac:dyDescent="0.2">
      <c r="A67" s="7">
        <v>45701</v>
      </c>
      <c r="B67" t="s">
        <v>14</v>
      </c>
      <c r="C67" s="12">
        <v>0.43</v>
      </c>
      <c r="D67" s="12" t="s">
        <v>50</v>
      </c>
    </row>
    <row r="68" spans="1:4" x14ac:dyDescent="0.2">
      <c r="A68" s="7">
        <v>45716</v>
      </c>
      <c r="B68" t="s">
        <v>11</v>
      </c>
      <c r="C68" s="12">
        <v>1.9</v>
      </c>
      <c r="D68" s="12" t="s">
        <v>50</v>
      </c>
    </row>
    <row r="69" spans="1:4" x14ac:dyDescent="0.2">
      <c r="A69" s="7">
        <v>45716</v>
      </c>
      <c r="B69" t="s">
        <v>29</v>
      </c>
      <c r="C69" s="12">
        <v>0.23</v>
      </c>
      <c r="D69" s="12" t="s">
        <v>50</v>
      </c>
    </row>
    <row r="70" spans="1:4" x14ac:dyDescent="0.2">
      <c r="A70" s="7">
        <v>45729</v>
      </c>
      <c r="B70" t="s">
        <v>17</v>
      </c>
      <c r="C70" s="12">
        <v>0.52</v>
      </c>
      <c r="D70" s="12" t="s">
        <v>50</v>
      </c>
    </row>
    <row r="71" spans="1:4" x14ac:dyDescent="0.2">
      <c r="A71" s="7">
        <v>45733</v>
      </c>
      <c r="B71" t="s">
        <v>15</v>
      </c>
      <c r="C71" s="12">
        <v>0.18</v>
      </c>
      <c r="D71" s="12" t="s">
        <v>50</v>
      </c>
    </row>
    <row r="72" spans="1:4" x14ac:dyDescent="0.2">
      <c r="A72" s="7">
        <v>45733</v>
      </c>
      <c r="B72" t="s">
        <v>16</v>
      </c>
      <c r="C72" s="12">
        <v>0.1</v>
      </c>
      <c r="D72" s="12" t="s">
        <v>50</v>
      </c>
    </row>
    <row r="73" spans="1:4" x14ac:dyDescent="0.2">
      <c r="A73" s="7">
        <v>45742</v>
      </c>
      <c r="B73" t="s">
        <v>30</v>
      </c>
      <c r="C73" s="12">
        <v>0.11</v>
      </c>
      <c r="D73" s="12" t="s">
        <v>50</v>
      </c>
    </row>
    <row r="74" spans="1:4" x14ac:dyDescent="0.2">
      <c r="A74" s="7">
        <v>45749</v>
      </c>
      <c r="B74" t="s">
        <v>9</v>
      </c>
      <c r="C74" s="12">
        <v>0.05</v>
      </c>
      <c r="D74" s="12" t="s">
        <v>50</v>
      </c>
    </row>
    <row r="75" spans="1:4" x14ac:dyDescent="0.2">
      <c r="A75" s="7">
        <v>45757</v>
      </c>
      <c r="B75" t="s">
        <v>18</v>
      </c>
      <c r="C75" s="12">
        <v>0.2</v>
      </c>
      <c r="D75" s="12" t="s">
        <v>50</v>
      </c>
    </row>
    <row r="76" spans="1:4" x14ac:dyDescent="0.2">
      <c r="A76" s="7">
        <v>45792</v>
      </c>
      <c r="B76" t="s">
        <v>14</v>
      </c>
      <c r="C76" s="12">
        <v>0.44</v>
      </c>
      <c r="D76" s="12" t="s">
        <v>50</v>
      </c>
    </row>
    <row r="77" spans="1:4" x14ac:dyDescent="0.2">
      <c r="A77" s="7">
        <v>45807</v>
      </c>
      <c r="B77" t="s">
        <v>11</v>
      </c>
      <c r="C77" s="12">
        <v>1.91</v>
      </c>
      <c r="D77" s="12" t="s">
        <v>50</v>
      </c>
    </row>
    <row r="78" spans="1:4" x14ac:dyDescent="0.2">
      <c r="A78" s="7">
        <v>45797</v>
      </c>
      <c r="B78" t="s">
        <v>29</v>
      </c>
      <c r="C78" s="12">
        <v>0.25</v>
      </c>
      <c r="D78" s="12" t="s">
        <v>50</v>
      </c>
    </row>
    <row r="79" spans="1:4" x14ac:dyDescent="0.2">
      <c r="A79" s="7">
        <v>45820</v>
      </c>
      <c r="B79" t="s">
        <v>17</v>
      </c>
      <c r="C79" s="12">
        <v>0.52</v>
      </c>
      <c r="D79" s="12" t="s">
        <v>50</v>
      </c>
    </row>
    <row r="80" spans="1:4" x14ac:dyDescent="0.2">
      <c r="A80" s="7">
        <v>45824</v>
      </c>
      <c r="B80" t="s">
        <v>15</v>
      </c>
      <c r="C80" s="12">
        <v>0.19</v>
      </c>
      <c r="D80" s="12" t="s">
        <v>50</v>
      </c>
    </row>
    <row r="81" spans="1:4" x14ac:dyDescent="0.2">
      <c r="A81" s="7">
        <v>45824</v>
      </c>
      <c r="B81" t="s">
        <v>16</v>
      </c>
      <c r="C81" s="12">
        <v>0.1</v>
      </c>
      <c r="D81" s="12" t="s">
        <v>50</v>
      </c>
    </row>
    <row r="82" spans="1:4" x14ac:dyDescent="0.2">
      <c r="A82" s="7">
        <v>45834</v>
      </c>
      <c r="B82" t="s">
        <v>30</v>
      </c>
      <c r="C82" s="12">
        <v>0.11</v>
      </c>
      <c r="D82" s="12" t="s">
        <v>50</v>
      </c>
    </row>
    <row r="83" spans="1:4" x14ac:dyDescent="0.2">
      <c r="A83" s="7">
        <v>45841</v>
      </c>
      <c r="B83" t="s">
        <v>9</v>
      </c>
      <c r="C83" s="12">
        <v>0.04</v>
      </c>
      <c r="D83" s="12" t="s">
        <v>50</v>
      </c>
    </row>
    <row r="84" spans="1:4" x14ac:dyDescent="0.2">
      <c r="A84" s="7">
        <v>45848</v>
      </c>
      <c r="B84" t="s">
        <v>18</v>
      </c>
      <c r="C84" s="12">
        <v>0.23</v>
      </c>
      <c r="D84" s="12" t="s">
        <v>50</v>
      </c>
    </row>
    <row r="85" spans="1:4" x14ac:dyDescent="0.2">
      <c r="A85" s="7">
        <v>45853</v>
      </c>
      <c r="B85" t="s">
        <v>27</v>
      </c>
      <c r="C85" s="12">
        <v>0.03</v>
      </c>
      <c r="D85" s="12" t="s">
        <v>50</v>
      </c>
    </row>
    <row r="86" spans="1:4" x14ac:dyDescent="0.2">
      <c r="A86" s="7">
        <v>45869</v>
      </c>
      <c r="B86" t="s">
        <v>32</v>
      </c>
      <c r="C86" s="12">
        <v>0.15</v>
      </c>
      <c r="D86" s="12" t="s">
        <v>50</v>
      </c>
    </row>
    <row r="87" spans="1:4" x14ac:dyDescent="0.2">
      <c r="A87" s="7">
        <v>45883</v>
      </c>
      <c r="B87" t="s">
        <v>14</v>
      </c>
      <c r="C87" s="12">
        <v>0.44</v>
      </c>
      <c r="D87" s="12" t="s">
        <v>50</v>
      </c>
    </row>
    <row r="88" spans="1:4" x14ac:dyDescent="0.2">
      <c r="A88" s="7">
        <v>45898</v>
      </c>
      <c r="B88" t="s">
        <v>29</v>
      </c>
      <c r="C88" s="12">
        <v>0.25</v>
      </c>
      <c r="D88" s="12" t="s">
        <v>50</v>
      </c>
    </row>
    <row r="89" spans="1:4" x14ac:dyDescent="0.2">
      <c r="A89" s="7">
        <v>45911</v>
      </c>
      <c r="B89" t="s">
        <v>17</v>
      </c>
      <c r="C89" s="12">
        <v>0.52</v>
      </c>
      <c r="D89" s="12" t="s">
        <v>50</v>
      </c>
    </row>
    <row r="90" spans="1:4" x14ac:dyDescent="0.2">
      <c r="A90" s="7">
        <v>45915</v>
      </c>
      <c r="B90" t="s">
        <v>15</v>
      </c>
      <c r="C90" s="12">
        <v>0.19</v>
      </c>
      <c r="D90" s="12" t="s">
        <v>50</v>
      </c>
    </row>
    <row r="91" spans="1:4" x14ac:dyDescent="0.2">
      <c r="A91" s="7">
        <v>45929</v>
      </c>
      <c r="B91" t="s">
        <v>30</v>
      </c>
      <c r="C91" s="12">
        <v>0.11</v>
      </c>
      <c r="D91" s="12" t="s">
        <v>50</v>
      </c>
    </row>
    <row r="92" spans="1:4" x14ac:dyDescent="0.2">
      <c r="A92" s="7">
        <v>45932</v>
      </c>
      <c r="B92" t="s">
        <v>9</v>
      </c>
      <c r="C92" s="12">
        <v>0.03</v>
      </c>
      <c r="D92" s="12" t="s">
        <v>50</v>
      </c>
    </row>
    <row r="93" spans="1:4" x14ac:dyDescent="0.2">
      <c r="A93" s="7">
        <v>45939</v>
      </c>
      <c r="B93" t="s">
        <v>18</v>
      </c>
      <c r="C93" s="12">
        <v>0.24</v>
      </c>
      <c r="D93" s="12" t="s">
        <v>50</v>
      </c>
    </row>
    <row r="94" spans="1:4" x14ac:dyDescent="0.2">
      <c r="A94" s="7">
        <v>45960</v>
      </c>
      <c r="B94" t="s">
        <v>32</v>
      </c>
      <c r="C94" s="12">
        <v>0.28999999999999998</v>
      </c>
      <c r="D94" s="12" t="s">
        <v>50</v>
      </c>
    </row>
    <row r="95" spans="1:4" x14ac:dyDescent="0.2">
      <c r="A95" s="7">
        <v>45974</v>
      </c>
      <c r="B95" t="s">
        <v>14</v>
      </c>
      <c r="C95" s="12">
        <v>0.44</v>
      </c>
      <c r="D95" s="12" t="s">
        <v>50</v>
      </c>
    </row>
    <row r="96" spans="1:4" x14ac:dyDescent="0.2">
      <c r="A96" s="7">
        <v>45989</v>
      </c>
      <c r="B96" t="s">
        <v>29</v>
      </c>
      <c r="C96" s="12">
        <v>0.25</v>
      </c>
      <c r="D96" s="12" t="s">
        <v>50</v>
      </c>
    </row>
    <row r="97" spans="1:4" x14ac:dyDescent="0.2">
      <c r="A97" s="7">
        <v>46008</v>
      </c>
      <c r="B97" t="s">
        <v>39</v>
      </c>
      <c r="C97" s="12">
        <v>4.28</v>
      </c>
      <c r="D97" s="12" t="s">
        <v>50</v>
      </c>
    </row>
    <row r="98" spans="1:4" x14ac:dyDescent="0.2">
      <c r="A98" s="7">
        <v>46014</v>
      </c>
      <c r="B98" t="s">
        <v>30</v>
      </c>
      <c r="C98" s="12">
        <v>0.11</v>
      </c>
      <c r="D98" s="12" t="s">
        <v>50</v>
      </c>
    </row>
    <row r="99" spans="1:4" x14ac:dyDescent="0.2">
      <c r="A99" s="7">
        <v>46017</v>
      </c>
      <c r="B99" t="s">
        <v>9</v>
      </c>
      <c r="C99" s="12">
        <v>0.03</v>
      </c>
      <c r="D99" s="12" t="s">
        <v>50</v>
      </c>
    </row>
    <row r="100" spans="1:4" x14ac:dyDescent="0.2">
      <c r="A100" s="7">
        <v>46020</v>
      </c>
      <c r="B100" t="s">
        <v>36</v>
      </c>
      <c r="C100" s="12">
        <v>0.77</v>
      </c>
      <c r="D100" s="12" t="s">
        <v>50</v>
      </c>
    </row>
    <row r="101" spans="1:4" x14ac:dyDescent="0.2">
      <c r="A101" s="7">
        <v>46030</v>
      </c>
      <c r="B101" t="s">
        <v>18</v>
      </c>
      <c r="C101" s="12">
        <v>0.24</v>
      </c>
      <c r="D101" s="12" t="s">
        <v>50</v>
      </c>
    </row>
    <row r="102" spans="1:4" x14ac:dyDescent="0.2">
      <c r="A102" s="7">
        <v>46042</v>
      </c>
      <c r="B102" t="s">
        <v>27</v>
      </c>
      <c r="C102" s="12">
        <v>0.03</v>
      </c>
      <c r="D102" s="12" t="s">
        <v>50</v>
      </c>
    </row>
    <row r="103" spans="1:4" x14ac:dyDescent="0.2">
      <c r="A103" s="7">
        <v>46051</v>
      </c>
      <c r="B103" t="s">
        <v>32</v>
      </c>
      <c r="C103" s="12">
        <v>0.36</v>
      </c>
      <c r="D103" s="12" t="s">
        <v>50</v>
      </c>
    </row>
    <row r="104" spans="1:4" x14ac:dyDescent="0.2">
      <c r="A104" s="7">
        <v>46080</v>
      </c>
      <c r="B104" t="s">
        <v>29</v>
      </c>
      <c r="C104" s="12">
        <v>0.25</v>
      </c>
      <c r="D104" s="12" t="s">
        <v>50</v>
      </c>
    </row>
    <row r="105" spans="1:4" x14ac:dyDescent="0.2">
      <c r="A105" s="7">
        <v>46093</v>
      </c>
      <c r="B105" t="s">
        <v>17</v>
      </c>
      <c r="C105" s="12">
        <v>0.56999999999999995</v>
      </c>
      <c r="D105" s="12" t="s">
        <v>50</v>
      </c>
    </row>
    <row r="106" spans="1:4" x14ac:dyDescent="0.2">
      <c r="A106" s="7">
        <v>46097</v>
      </c>
      <c r="B106" t="s">
        <v>15</v>
      </c>
      <c r="C106" s="12">
        <v>0.19</v>
      </c>
      <c r="D106" s="12" t="s">
        <v>50</v>
      </c>
    </row>
    <row r="107" spans="1:4" x14ac:dyDescent="0.2">
      <c r="A107" s="7">
        <v>46107</v>
      </c>
      <c r="B107" t="s">
        <v>30</v>
      </c>
      <c r="C107" s="12">
        <v>0.11</v>
      </c>
      <c r="D107" s="12" t="s">
        <v>50</v>
      </c>
    </row>
    <row r="108" spans="1:4" x14ac:dyDescent="0.2">
      <c r="A108" s="7">
        <v>46113</v>
      </c>
      <c r="B108" t="s">
        <v>9</v>
      </c>
      <c r="C108" s="12">
        <v>0.03</v>
      </c>
      <c r="D108" s="12" t="s">
        <v>50</v>
      </c>
    </row>
    <row r="109" spans="1:4" x14ac:dyDescent="0.2">
      <c r="A109" s="7">
        <v>46121</v>
      </c>
      <c r="B109" t="s">
        <v>18</v>
      </c>
      <c r="C109" s="12">
        <v>0.28000000000000003</v>
      </c>
      <c r="D109" s="12" t="s">
        <v>50</v>
      </c>
    </row>
    <row r="110" spans="1:4" x14ac:dyDescent="0.2">
      <c r="A110" s="7">
        <v>46142</v>
      </c>
      <c r="B110" t="s">
        <v>32</v>
      </c>
      <c r="C110" s="12">
        <v>0.25</v>
      </c>
      <c r="D110" s="12" t="s">
        <v>50</v>
      </c>
    </row>
    <row r="111" spans="1:4" x14ac:dyDescent="0.2">
      <c r="A111" s="7">
        <v>46156</v>
      </c>
      <c r="B111" t="s">
        <v>14</v>
      </c>
      <c r="C111" s="12">
        <v>0.46</v>
      </c>
      <c r="D111" s="12" t="s">
        <v>50</v>
      </c>
    </row>
    <row r="112" spans="1:4" x14ac:dyDescent="0.2">
      <c r="A112" s="7">
        <v>46184</v>
      </c>
      <c r="B112" t="s">
        <v>17</v>
      </c>
      <c r="C112" s="12">
        <v>0.56999999999999995</v>
      </c>
      <c r="D112" s="12" t="s">
        <v>50</v>
      </c>
    </row>
    <row r="113" spans="1:4" x14ac:dyDescent="0.2">
      <c r="A113" s="7">
        <v>46188</v>
      </c>
      <c r="B113" t="s">
        <v>15</v>
      </c>
      <c r="C113" s="12">
        <v>0.2</v>
      </c>
      <c r="D113" s="12" t="s">
        <v>50</v>
      </c>
    </row>
    <row r="114" spans="1:4" x14ac:dyDescent="0.2">
      <c r="A114" s="7">
        <v>46188</v>
      </c>
      <c r="B114" t="s">
        <v>44</v>
      </c>
      <c r="C114" s="12">
        <v>0.34</v>
      </c>
      <c r="D114" s="12" t="s">
        <v>50</v>
      </c>
    </row>
    <row r="115" spans="1:4" x14ac:dyDescent="0.2">
      <c r="A115" s="7">
        <v>46198</v>
      </c>
      <c r="B115" t="s">
        <v>30</v>
      </c>
      <c r="C115" s="12">
        <v>0.11</v>
      </c>
      <c r="D115" s="12" t="s">
        <v>50</v>
      </c>
    </row>
    <row r="116" spans="1:4" x14ac:dyDescent="0.2">
      <c r="A116" s="7">
        <v>46199</v>
      </c>
      <c r="B116" t="s">
        <v>9</v>
      </c>
      <c r="C116" s="12">
        <v>0.66</v>
      </c>
      <c r="D116" s="12" t="s">
        <v>50</v>
      </c>
    </row>
    <row r="117" spans="1:4" x14ac:dyDescent="0.2">
      <c r="A117" s="7">
        <v>46212</v>
      </c>
      <c r="B117" t="s">
        <v>18</v>
      </c>
      <c r="C117" s="12">
        <v>0.28000000000000003</v>
      </c>
      <c r="D117" s="12" t="s">
        <v>50</v>
      </c>
    </row>
    <row r="118" spans="1:4" x14ac:dyDescent="0.2">
      <c r="A118" s="7">
        <v>46218</v>
      </c>
      <c r="B118" t="s">
        <v>27</v>
      </c>
      <c r="C118" s="12">
        <v>0.03</v>
      </c>
      <c r="D118" s="12" t="s">
        <v>50</v>
      </c>
    </row>
    <row r="119" spans="1:4" x14ac:dyDescent="0.2">
      <c r="A119" s="7">
        <v>46233</v>
      </c>
      <c r="B119" t="s">
        <v>32</v>
      </c>
      <c r="C119" s="12">
        <v>0.25</v>
      </c>
      <c r="D119" s="12" t="s">
        <v>50</v>
      </c>
    </row>
    <row r="120" spans="1:4" x14ac:dyDescent="0.2">
      <c r="A120" s="7">
        <v>46247</v>
      </c>
      <c r="B120" t="s">
        <v>14</v>
      </c>
      <c r="C120" s="12">
        <v>0.46</v>
      </c>
      <c r="D120" s="12" t="s">
        <v>50</v>
      </c>
    </row>
    <row r="121" spans="1:4" x14ac:dyDescent="0.2">
      <c r="A121" s="7">
        <v>46275</v>
      </c>
      <c r="B121" t="s">
        <v>17</v>
      </c>
      <c r="C121" s="12">
        <v>0.56999999999999995</v>
      </c>
      <c r="D121" s="12" t="s">
        <v>50</v>
      </c>
    </row>
    <row r="122" spans="1:4" x14ac:dyDescent="0.2">
      <c r="A122" s="7">
        <v>46279</v>
      </c>
      <c r="B122" t="s">
        <v>15</v>
      </c>
      <c r="C122" s="12">
        <v>0.2</v>
      </c>
      <c r="D122" s="12" t="s">
        <v>50</v>
      </c>
    </row>
    <row r="123" spans="1:4" x14ac:dyDescent="0.2">
      <c r="A123" s="7">
        <v>46280</v>
      </c>
      <c r="B123" t="s">
        <v>44</v>
      </c>
      <c r="C123" s="12">
        <v>0.34</v>
      </c>
      <c r="D123" s="12" t="s">
        <v>50</v>
      </c>
    </row>
    <row r="124" spans="1:4" x14ac:dyDescent="0.2">
      <c r="A124" s="7">
        <v>46290</v>
      </c>
      <c r="B124" t="s">
        <v>45</v>
      </c>
      <c r="C124" s="12">
        <v>1.24</v>
      </c>
      <c r="D124" s="12" t="s">
        <v>50</v>
      </c>
    </row>
    <row r="125" spans="1:4" x14ac:dyDescent="0.2">
      <c r="A125" s="7">
        <v>46293</v>
      </c>
      <c r="B125" t="s">
        <v>30</v>
      </c>
      <c r="C125" s="12">
        <v>0.11</v>
      </c>
      <c r="D125" s="12" t="s">
        <v>50</v>
      </c>
    </row>
    <row r="126" spans="1:4" x14ac:dyDescent="0.2">
      <c r="A126" s="7">
        <v>46303</v>
      </c>
      <c r="B126" t="s">
        <v>58</v>
      </c>
      <c r="C126" s="12">
        <v>0.14000000000000001</v>
      </c>
      <c r="D126" s="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transactions_DB</vt:lpstr>
      <vt:lpstr>deposits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Utku Demircan</dc:creator>
  <cp:lastModifiedBy>Utku Demircan</cp:lastModifiedBy>
  <dcterms:created xsi:type="dcterms:W3CDTF">2026-08-07T11:13:22Z</dcterms:created>
  <dcterms:modified xsi:type="dcterms:W3CDTF">2026-10-30T08:49:48Z</dcterms:modified>
</cp:coreProperties>
</file>